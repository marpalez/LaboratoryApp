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Invitado\Desktop\Archivos windows\Desarrollo de aplicaciones\AplicacionTomaNotas\"/>
    </mc:Choice>
  </mc:AlternateContent>
  <xr:revisionPtr revIDLastSave="0" documentId="13_ncr:1_{77E87199-AF87-4E83-9F6D-1777A2F31B9A}" xr6:coauthVersionLast="47" xr6:coauthVersionMax="47" xr10:uidLastSave="{00000000-0000-0000-0000-000000000000}"/>
  <bookViews>
    <workbookView xWindow="-108" yWindow="-108" windowWidth="30936" windowHeight="16776" firstSheet="1" activeTab="5" xr2:uid="{7F69428F-316C-43DE-8728-7F1F02CCCB92}"/>
  </bookViews>
  <sheets>
    <sheet name="RESUMEN PROYECTO LUM" sheetId="7" r:id="rId1"/>
    <sheet name="Toma de notas 60598" sheetId="6" r:id="rId2"/>
    <sheet name="BBDD Equipos 60598" sheetId="4" r:id="rId3"/>
    <sheet name="Datos ensayos LUM." sheetId="8" r:id="rId4"/>
    <sheet name="Índice" sheetId="3" r:id="rId5"/>
    <sheet name="Equipos" sheetId="2" r:id="rId6"/>
  </sheets>
  <definedNames>
    <definedName name="_Hlk10462746" localSheetId="2">'BBDD Equipos 60598'!$F$106</definedName>
    <definedName name="_Hlk99628035" localSheetId="2">'BBDD Equipos 60598'!$AX$12</definedName>
    <definedName name="_xlnm.Print_Area" localSheetId="2">'BBDD Equipos 60598'!$A$1:$D$20,'BBDD Equipos 60598'!$E$1:$H$108,'BBDD Equipos 60598'!$I$1:$AB$19,'BBDD Equipos 60598'!$AC$1:$AJ$35,'BBDD Equipos 60598'!$AK$1:$AR$52,'BBDD Equipos 60598'!$AS$1:$AV$19,'BBDD Equipos 60598'!$AW$1:$AZ$104,'BBDD Equipos 60598'!$BA$1:$BD$19</definedName>
    <definedName name="_xlnm.Print_Area" localSheetId="5">Equipos!$A$1:$S$128</definedName>
    <definedName name="_xlnm.Print_Area" localSheetId="0">'RESUMEN PROYECTO LUM'!$A$1:$T$60</definedName>
    <definedName name="_xlnm.Print_Area" localSheetId="1">'Toma de notas 60598'!$A$1:$N$1118</definedName>
  </definedNames>
  <calcPr calcId="191029" iterateDelta="1E-4"/>
  <customWorkbookViews>
    <customWorkbookView name="4" guid="{79F412AB-527B-4B09-A03C-7CEF74370DD0}" maximized="1" xWindow="-8" yWindow="-8" windowWidth="1936" windowHeight="1048"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 i="4" l="1"/>
  <c r="AQ25" i="8"/>
  <c r="BX53" i="8" l="1"/>
  <c r="D103" i="8" l="1"/>
  <c r="BB11" i="4"/>
  <c r="BB10" i="4"/>
  <c r="BB9" i="4"/>
  <c r="F1068" i="6"/>
  <c r="AH21" i="4"/>
  <c r="AH14" i="4"/>
  <c r="AJ32" i="8"/>
  <c r="AJ33" i="8"/>
  <c r="AV86" i="8"/>
  <c r="AP86" i="8" s="1"/>
  <c r="AV87" i="8"/>
  <c r="AP87" i="8" s="1"/>
  <c r="BU115" i="8"/>
  <c r="BU99" i="8"/>
  <c r="AJ42" i="8"/>
  <c r="AJ43" i="8" s="1"/>
  <c r="AK10" i="8" s="1"/>
  <c r="AJ47" i="8"/>
  <c r="AJ48" i="8" s="1"/>
  <c r="AK11" i="8" s="1"/>
  <c r="AJ52" i="8"/>
  <c r="AJ53" i="8" s="1"/>
  <c r="AK12" i="8" s="1"/>
  <c r="AJ57" i="8"/>
  <c r="AJ58" i="8" s="1"/>
  <c r="AK13" i="8" s="1"/>
  <c r="AJ29" i="8"/>
  <c r="AJ39" i="8"/>
  <c r="H117" i="8"/>
  <c r="B117" i="8" s="1"/>
  <c r="H118" i="8"/>
  <c r="B118" i="8" s="1"/>
  <c r="H124" i="8"/>
  <c r="B124" i="8" s="1"/>
  <c r="H123" i="8"/>
  <c r="B123" i="8" s="1"/>
  <c r="B125" i="8" s="1"/>
  <c r="BU137" i="8" a="1"/>
  <c r="BU137" i="8" s="1"/>
  <c r="B926" i="6" s="1"/>
  <c r="BU140" i="8"/>
  <c r="BU139" i="8"/>
  <c r="CA133" i="8"/>
  <c r="BU133" i="8" s="1"/>
  <c r="CA132" i="8"/>
  <c r="BU132" i="8" s="1"/>
  <c r="CA166" i="8"/>
  <c r="BU166" i="8" s="1"/>
  <c r="CA167" i="8"/>
  <c r="BU167" i="8" s="1"/>
  <c r="CA120" i="8"/>
  <c r="BU120" i="8" s="1"/>
  <c r="CA119" i="8"/>
  <c r="BU119" i="8" s="1"/>
  <c r="BU114" i="8"/>
  <c r="BU111" i="8"/>
  <c r="BU105" i="8"/>
  <c r="BY102" i="8"/>
  <c r="BU103" i="8" s="1"/>
  <c r="BY101" i="8"/>
  <c r="BU102" i="8"/>
  <c r="BU101" i="8"/>
  <c r="BU98" i="8"/>
  <c r="BU97" i="8"/>
  <c r="BU93" i="8"/>
  <c r="BU92" i="8"/>
  <c r="BU91" i="8"/>
  <c r="BU87" i="8"/>
  <c r="BU88" i="8" s="1"/>
  <c r="BU85" i="8"/>
  <c r="BU83" i="8"/>
  <c r="D848" i="6" s="1"/>
  <c r="BW58" i="8"/>
  <c r="O10" i="8"/>
  <c r="I28" i="7" s="1"/>
  <c r="R6" i="8"/>
  <c r="T6" i="8"/>
  <c r="S6" i="8"/>
  <c r="O6" i="8" s="1"/>
  <c r="D25" i="7" s="1"/>
  <c r="Q6" i="8"/>
  <c r="A40" i="7"/>
  <c r="A41" i="7"/>
  <c r="E47" i="7"/>
  <c r="E46" i="7"/>
  <c r="E45" i="7"/>
  <c r="D39" i="7"/>
  <c r="B47" i="7"/>
  <c r="B46" i="7"/>
  <c r="B45" i="7"/>
  <c r="C47" i="7"/>
  <c r="C46" i="7"/>
  <c r="C45" i="7"/>
  <c r="C44" i="7"/>
  <c r="C43" i="7"/>
  <c r="C42" i="7"/>
  <c r="C41" i="7"/>
  <c r="C40" i="7"/>
  <c r="D194" i="8"/>
  <c r="D147" i="8"/>
  <c r="D149" i="8" s="1"/>
  <c r="BN60" i="8"/>
  <c r="BN67" i="8" s="1"/>
  <c r="F82" i="4"/>
  <c r="F81" i="4"/>
  <c r="C1065" i="6"/>
  <c r="D21" i="7"/>
  <c r="E40" i="7"/>
  <c r="B40" i="7"/>
  <c r="B41" i="7"/>
  <c r="A42" i="7"/>
  <c r="E41" i="7"/>
  <c r="BN74" i="8"/>
  <c r="BN68" i="8"/>
  <c r="BN62" i="8"/>
  <c r="BN50" i="8"/>
  <c r="BN51" i="8" s="1"/>
  <c r="BN47" i="8"/>
  <c r="BN48" i="8" s="1"/>
  <c r="BN45" i="8"/>
  <c r="CF149" i="8"/>
  <c r="B526" i="6" s="1"/>
  <c r="CF148" i="8"/>
  <c r="CF140" i="8"/>
  <c r="B511" i="6" s="1"/>
  <c r="CF139" i="8"/>
  <c r="CF132" i="8"/>
  <c r="CF146" i="8" s="1"/>
  <c r="CF151" i="8" s="1"/>
  <c r="CF137" i="8"/>
  <c r="C1" i="6" a="1"/>
  <c r="C1" i="6" s="1"/>
  <c r="A43" i="7"/>
  <c r="E42" i="7"/>
  <c r="B42" i="7"/>
  <c r="CF142" i="8"/>
  <c r="BQ5" i="8"/>
  <c r="BJ4" i="8"/>
  <c r="BI4" i="8"/>
  <c r="BF14" i="8" a="1"/>
  <c r="BF14" i="8"/>
  <c r="BH14" i="8"/>
  <c r="BJ14" i="8" s="1"/>
  <c r="BH13" i="8"/>
  <c r="BJ13" i="8" s="1"/>
  <c r="BH12" i="8"/>
  <c r="BI12" i="8"/>
  <c r="BH11" i="8"/>
  <c r="BI11" i="8" s="1"/>
  <c r="BH10" i="8"/>
  <c r="BI10" i="8"/>
  <c r="BH9" i="8"/>
  <c r="BI9" i="8" s="1"/>
  <c r="BH8" i="8"/>
  <c r="BJ8" i="8"/>
  <c r="BH7" i="8"/>
  <c r="BI7" i="8" s="1"/>
  <c r="BH6" i="8"/>
  <c r="BJ6" i="8"/>
  <c r="BH5" i="8"/>
  <c r="BI5" i="8" s="1"/>
  <c r="CF103" i="8"/>
  <c r="CF94" i="8"/>
  <c r="CF89" i="8"/>
  <c r="CF92" i="8" s="1"/>
  <c r="CF96" i="8" s="1"/>
  <c r="CM94" i="8"/>
  <c r="CM89" i="8"/>
  <c r="CM92" i="8" s="1"/>
  <c r="CM96" i="8" s="1"/>
  <c r="CM81" i="8"/>
  <c r="CM73" i="8"/>
  <c r="CM68" i="8"/>
  <c r="CM71" i="8"/>
  <c r="L22" i="8"/>
  <c r="L21" i="8"/>
  <c r="M21" i="8"/>
  <c r="B27" i="6"/>
  <c r="CM57" i="8"/>
  <c r="CM49" i="8"/>
  <c r="H428" i="6"/>
  <c r="I428" i="6"/>
  <c r="J428" i="6"/>
  <c r="K428" i="6"/>
  <c r="L428" i="6"/>
  <c r="M428" i="6"/>
  <c r="N428" i="6"/>
  <c r="G428" i="6"/>
  <c r="CM41" i="8"/>
  <c r="CM40" i="8"/>
  <c r="CM35" i="8"/>
  <c r="CM38" i="8" s="1"/>
  <c r="CM43" i="8" s="1"/>
  <c r="CF73" i="8"/>
  <c r="CF68" i="8"/>
  <c r="CF71" i="8"/>
  <c r="CF75" i="8" s="1"/>
  <c r="CF55" i="8"/>
  <c r="CF47" i="8"/>
  <c r="CF39" i="8"/>
  <c r="CF31" i="8"/>
  <c r="CF28" i="8" a="1"/>
  <c r="CF28" i="8" s="1"/>
  <c r="CF27" i="8"/>
  <c r="B382" i="6" s="1"/>
  <c r="CF20" i="8"/>
  <c r="D2" i="4" a="1"/>
  <c r="D2" i="4"/>
  <c r="AI14" i="8"/>
  <c r="AJ14" i="8" s="1"/>
  <c r="D141" i="8"/>
  <c r="D143" i="8" s="1"/>
  <c r="L45" i="8" s="1"/>
  <c r="AI13" i="8"/>
  <c r="AJ13" i="8" s="1"/>
  <c r="AI12" i="8"/>
  <c r="AJ12" i="8"/>
  <c r="AI11" i="8"/>
  <c r="AJ11" i="8" s="1"/>
  <c r="AI10" i="8"/>
  <c r="AJ10" i="8"/>
  <c r="AI8" i="8"/>
  <c r="AJ8" i="8" s="1"/>
  <c r="AI6" i="8"/>
  <c r="AJ6" i="8"/>
  <c r="AB7" i="8"/>
  <c r="AD7" i="8" s="1"/>
  <c r="AB13" i="8"/>
  <c r="AD13" i="8"/>
  <c r="AA14" i="8"/>
  <c r="AB14" i="8" s="1"/>
  <c r="AA6" i="8"/>
  <c r="AB6" i="8"/>
  <c r="AU41" i="2" a="1"/>
  <c r="AU41" i="2" s="1"/>
  <c r="AV70" i="8"/>
  <c r="V31" i="2"/>
  <c r="O15" i="8"/>
  <c r="P28" i="7" s="1"/>
  <c r="O12" i="8"/>
  <c r="I27" i="7" s="1"/>
  <c r="B11" i="7"/>
  <c r="AT9" i="4"/>
  <c r="AU25" i="2" a="1"/>
  <c r="AU25" i="2" s="1"/>
  <c r="AU10" i="2" a="1"/>
  <c r="AU10" i="2" s="1"/>
  <c r="AT14" i="2"/>
  <c r="BW65" i="8"/>
  <c r="BW63" i="8"/>
  <c r="BW49" i="8"/>
  <c r="BW47" i="8"/>
  <c r="AQ14" i="8" s="1"/>
  <c r="AR14" i="8" s="1"/>
  <c r="BW33" i="8"/>
  <c r="BW31" i="8"/>
  <c r="AQ13" i="8" s="1"/>
  <c r="AR13" i="8" s="1"/>
  <c r="BW25" i="8"/>
  <c r="BW23" i="8"/>
  <c r="AQ12" i="8" s="1"/>
  <c r="AR12" i="8" s="1"/>
  <c r="BN25" i="8"/>
  <c r="BN28" i="8" s="1"/>
  <c r="AK6" i="8" s="1"/>
  <c r="V29" i="2"/>
  <c r="V28" i="2"/>
  <c r="V26" i="2"/>
  <c r="V27" i="2"/>
  <c r="V25" i="2"/>
  <c r="AD26" i="4"/>
  <c r="AD25" i="4"/>
  <c r="AD23" i="4"/>
  <c r="AD24" i="4"/>
  <c r="AD22" i="4"/>
  <c r="F44" i="2"/>
  <c r="F43" i="2"/>
  <c r="F41" i="2"/>
  <c r="F42" i="2"/>
  <c r="F40" i="2"/>
  <c r="F39" i="4"/>
  <c r="F38" i="4"/>
  <c r="F36" i="4"/>
  <c r="F37" i="4"/>
  <c r="F35" i="4"/>
  <c r="AH32" i="2"/>
  <c r="AH23" i="2"/>
  <c r="AH22" i="2"/>
  <c r="AH21" i="2"/>
  <c r="AH15" i="4"/>
  <c r="AH13" i="4"/>
  <c r="AI21" i="2" a="1"/>
  <c r="AI21" i="2" s="1"/>
  <c r="AH10" i="2"/>
  <c r="AH9" i="2"/>
  <c r="AH7" i="4"/>
  <c r="AH6" i="4"/>
  <c r="BE56" i="8"/>
  <c r="BE55" i="8"/>
  <c r="AQ10" i="8" s="1"/>
  <c r="AR10" i="8" s="1"/>
  <c r="BE48" i="8"/>
  <c r="BE50" i="8" s="1"/>
  <c r="AS9" i="8" s="1"/>
  <c r="BE47" i="8"/>
  <c r="AQ9" i="8" s="1"/>
  <c r="AR9" i="8" s="1"/>
  <c r="BE39" i="8"/>
  <c r="BE40" i="8"/>
  <c r="BE34" i="8"/>
  <c r="AH33" i="2"/>
  <c r="BE32" i="8"/>
  <c r="BF32" i="8"/>
  <c r="BH29" i="8"/>
  <c r="BH30" i="8"/>
  <c r="BH26" i="8"/>
  <c r="BH27" i="8"/>
  <c r="BH28" i="8"/>
  <c r="BH24" i="8"/>
  <c r="H26" i="7"/>
  <c r="H25" i="7"/>
  <c r="AR70" i="8"/>
  <c r="AR76" i="8"/>
  <c r="AR78" i="8"/>
  <c r="AR69" i="8"/>
  <c r="AR72" i="8" s="1"/>
  <c r="AS7" i="8" s="1"/>
  <c r="AR67" i="8"/>
  <c r="AQ8" i="8"/>
  <c r="AR8" i="8"/>
  <c r="AR55" i="8"/>
  <c r="AR59" i="8"/>
  <c r="C722" i="6" s="1"/>
  <c r="AR57" i="8"/>
  <c r="AR58" i="8" s="1"/>
  <c r="AR50" i="8"/>
  <c r="V14" i="2" s="1"/>
  <c r="AR49" i="8"/>
  <c r="AD9" i="4"/>
  <c r="AR48" i="8"/>
  <c r="V10" i="2"/>
  <c r="AR47" i="8"/>
  <c r="V9" i="2" s="1"/>
  <c r="AD6" i="4"/>
  <c r="AR45" i="8"/>
  <c r="V13" i="2"/>
  <c r="W9" i="2" a="1"/>
  <c r="W9" i="2" s="1"/>
  <c r="H715" i="6"/>
  <c r="I715" i="6"/>
  <c r="J715" i="6"/>
  <c r="K715" i="6"/>
  <c r="L715" i="6"/>
  <c r="M715" i="6"/>
  <c r="N715" i="6"/>
  <c r="AR35" i="8"/>
  <c r="AQ26" i="8"/>
  <c r="AR26" i="8"/>
  <c r="AS26" i="8"/>
  <c r="AT26" i="8"/>
  <c r="AU26" i="8"/>
  <c r="AV26" i="8"/>
  <c r="AW26" i="8"/>
  <c r="AX26" i="8"/>
  <c r="AQ27" i="8"/>
  <c r="AR27" i="8"/>
  <c r="AS27" i="8"/>
  <c r="AT27" i="8"/>
  <c r="AU27" i="8"/>
  <c r="AV27" i="8"/>
  <c r="AW27" i="8"/>
  <c r="AX27" i="8"/>
  <c r="AR25" i="8"/>
  <c r="AS25" i="8"/>
  <c r="AT25" i="8"/>
  <c r="AU25" i="8"/>
  <c r="AV25" i="8"/>
  <c r="AW25" i="8"/>
  <c r="AX25" i="8"/>
  <c r="N714" i="6"/>
  <c r="M714" i="6"/>
  <c r="L714" i="6"/>
  <c r="K714" i="6"/>
  <c r="J714" i="6"/>
  <c r="I714" i="6"/>
  <c r="N713" i="6"/>
  <c r="M713" i="6"/>
  <c r="L713" i="6"/>
  <c r="K713" i="6"/>
  <c r="J713" i="6"/>
  <c r="I713" i="6"/>
  <c r="H714" i="6"/>
  <c r="H713" i="6"/>
  <c r="G715" i="6"/>
  <c r="G714" i="6"/>
  <c r="G713" i="6"/>
  <c r="Z12" i="4"/>
  <c r="Z13" i="4"/>
  <c r="AP14" i="2"/>
  <c r="AP15" i="2"/>
  <c r="AP10" i="2"/>
  <c r="AP11" i="2"/>
  <c r="AP9" i="2"/>
  <c r="Z7" i="4"/>
  <c r="Z8" i="4"/>
  <c r="Z6" i="4"/>
  <c r="B644" i="6"/>
  <c r="Z11" i="4"/>
  <c r="AP12" i="2"/>
  <c r="AD12" i="2"/>
  <c r="AD13" i="2"/>
  <c r="AD11" i="2"/>
  <c r="V9" i="4"/>
  <c r="V10" i="4"/>
  <c r="V8" i="4"/>
  <c r="AB53" i="8"/>
  <c r="B627" i="6"/>
  <c r="AB46" i="8"/>
  <c r="AB31" i="8"/>
  <c r="B612" i="6" s="1"/>
  <c r="AB28" i="8"/>
  <c r="AB23" i="8"/>
  <c r="AB25" i="8" s="1"/>
  <c r="N7" i="4"/>
  <c r="R10" i="2"/>
  <c r="R9" i="2"/>
  <c r="N6" i="4"/>
  <c r="T31" i="8"/>
  <c r="T26" i="8"/>
  <c r="T24" i="8"/>
  <c r="T21" i="8"/>
  <c r="T22" i="8"/>
  <c r="AI7" i="8" s="1"/>
  <c r="AJ7" i="8" s="1"/>
  <c r="D262" i="8"/>
  <c r="D259" i="8"/>
  <c r="D260" i="8" s="1"/>
  <c r="D258" i="8"/>
  <c r="L239" i="8"/>
  <c r="L236" i="8"/>
  <c r="L235" i="8"/>
  <c r="L237" i="8" s="1"/>
  <c r="D239" i="8"/>
  <c r="D236" i="8"/>
  <c r="D235" i="8"/>
  <c r="D244" i="8"/>
  <c r="D241" i="8"/>
  <c r="L188" i="8"/>
  <c r="D188" i="8"/>
  <c r="L210" i="8"/>
  <c r="D220" i="8"/>
  <c r="D223" i="8"/>
  <c r="D214" i="8"/>
  <c r="D211" i="8"/>
  <c r="D210" i="8"/>
  <c r="L190" i="8"/>
  <c r="L185" i="8"/>
  <c r="L184" i="8"/>
  <c r="L186" i="8" s="1"/>
  <c r="N10" i="2"/>
  <c r="N9" i="2"/>
  <c r="D196" i="8"/>
  <c r="D185" i="8"/>
  <c r="D186" i="8" s="1"/>
  <c r="D184" i="8"/>
  <c r="L169" i="8"/>
  <c r="L166" i="8"/>
  <c r="D169" i="8"/>
  <c r="K49" i="8"/>
  <c r="D166" i="8"/>
  <c r="D165" i="8"/>
  <c r="K47" i="8"/>
  <c r="K46" i="8"/>
  <c r="K45" i="8"/>
  <c r="L147" i="8"/>
  <c r="B219" i="6"/>
  <c r="L149" i="8"/>
  <c r="L148" i="8"/>
  <c r="L138" i="8"/>
  <c r="L139" i="8"/>
  <c r="B206" i="6" s="1"/>
  <c r="D138" i="8"/>
  <c r="D135" i="8"/>
  <c r="D134" i="8"/>
  <c r="D136" i="8" s="1"/>
  <c r="AA9" i="8" s="1"/>
  <c r="AB9" i="8" s="1"/>
  <c r="L102" i="8"/>
  <c r="L99" i="8"/>
  <c r="L98" i="8"/>
  <c r="L97" i="8"/>
  <c r="L165" i="8" s="1"/>
  <c r="L167" i="8" s="1"/>
  <c r="D110" i="8"/>
  <c r="B139" i="6" s="1"/>
  <c r="F31" i="4"/>
  <c r="F30" i="4"/>
  <c r="F36" i="2"/>
  <c r="F35" i="2"/>
  <c r="D101" i="8"/>
  <c r="D97" i="8"/>
  <c r="D98" i="8"/>
  <c r="D99" i="8" s="1"/>
  <c r="D75" i="8"/>
  <c r="D76" i="8"/>
  <c r="L78" i="8"/>
  <c r="L79" i="8" s="1"/>
  <c r="B95" i="6"/>
  <c r="D84" i="8"/>
  <c r="D79" i="8"/>
  <c r="D53" i="8"/>
  <c r="D55" i="8" s="1"/>
  <c r="D64" i="8"/>
  <c r="D57" i="8"/>
  <c r="D54" i="8"/>
  <c r="D40" i="8"/>
  <c r="D42" i="8" s="1"/>
  <c r="AC6" i="8" s="1"/>
  <c r="AD6" i="8" s="1"/>
  <c r="L25" i="8"/>
  <c r="L29" i="8"/>
  <c r="D27" i="8"/>
  <c r="D23" i="8"/>
  <c r="D21" i="8"/>
  <c r="D22" i="8" s="1"/>
  <c r="D7" i="8"/>
  <c r="M1" i="6" s="1"/>
  <c r="K43" i="2" a="1"/>
  <c r="K43" i="2"/>
  <c r="K42" i="2"/>
  <c r="G35" i="2" a="1"/>
  <c r="G35" i="2" s="1"/>
  <c r="G34" i="2"/>
  <c r="K34" i="2" a="1"/>
  <c r="K34" i="2" s="1"/>
  <c r="K33" i="2"/>
  <c r="AI32" i="2" a="1"/>
  <c r="AI32" i="2" s="1"/>
  <c r="AI31" i="2"/>
  <c r="G27" i="2" a="1"/>
  <c r="G27" i="2" s="1"/>
  <c r="O28" i="2" a="1"/>
  <c r="O28" i="2" s="1"/>
  <c r="G26" i="2"/>
  <c r="O27" i="2"/>
  <c r="AU24" i="2"/>
  <c r="AI20" i="2"/>
  <c r="O20" i="2" a="1"/>
  <c r="O20" i="2"/>
  <c r="G19" i="2" a="1"/>
  <c r="G19" i="2"/>
  <c r="O19" i="2"/>
  <c r="K18" i="2" a="1"/>
  <c r="K18" i="2" s="1"/>
  <c r="K17" i="2"/>
  <c r="AX14" i="2"/>
  <c r="AX13" i="2"/>
  <c r="AT13" i="2"/>
  <c r="AX12" i="2"/>
  <c r="AX11" i="2"/>
  <c r="AT11" i="2"/>
  <c r="AY10" i="2" a="1"/>
  <c r="AY10" i="2" s="1"/>
  <c r="AX10" i="2"/>
  <c r="AY9" i="2"/>
  <c r="AU9" i="2"/>
  <c r="AQ9" i="2" a="1"/>
  <c r="AQ9" i="2" s="1"/>
  <c r="AM9" i="2" a="1"/>
  <c r="AM9" i="2" s="1"/>
  <c r="AI9" i="2" a="1"/>
  <c r="AI9" i="2" s="1"/>
  <c r="AE9" i="2" a="1"/>
  <c r="AE9" i="2" s="1"/>
  <c r="AA9" i="2" a="1"/>
  <c r="AA9" i="2" s="1"/>
  <c r="S9" i="2" a="1"/>
  <c r="S9" i="2" s="1"/>
  <c r="O9" i="2" a="1"/>
  <c r="O9" i="2" s="1"/>
  <c r="K9" i="2" a="1"/>
  <c r="K9" i="2" s="1"/>
  <c r="G9" i="2" a="1"/>
  <c r="G9" i="2" s="1"/>
  <c r="AQ8" i="2"/>
  <c r="AM8" i="2"/>
  <c r="AI8" i="2"/>
  <c r="AE8" i="2"/>
  <c r="AA8" i="2"/>
  <c r="W8" i="2"/>
  <c r="S8" i="2"/>
  <c r="O8" i="2"/>
  <c r="K8" i="2"/>
  <c r="C8" i="2" a="1"/>
  <c r="C8" i="2" s="1"/>
  <c r="AH6" i="2"/>
  <c r="F72" i="3"/>
  <c r="F48" i="3"/>
  <c r="F40" i="3"/>
  <c r="F32" i="3"/>
  <c r="F31" i="3"/>
  <c r="F24" i="3"/>
  <c r="F23" i="3"/>
  <c r="F22" i="3"/>
  <c r="F21" i="3"/>
  <c r="F20" i="3"/>
  <c r="F9" i="3"/>
  <c r="F8" i="3"/>
  <c r="F7" i="3"/>
  <c r="F6" i="3"/>
  <c r="AQ15" i="8"/>
  <c r="AR15" i="8"/>
  <c r="BW68" i="8"/>
  <c r="BW67" i="8" s="1"/>
  <c r="AQ7" i="8"/>
  <c r="AR7" i="8"/>
  <c r="CF23" i="8"/>
  <c r="CF37" i="8"/>
  <c r="BR5" i="8"/>
  <c r="BS5" i="8"/>
  <c r="N1" i="6"/>
  <c r="L1" i="6"/>
  <c r="H1" i="6"/>
  <c r="B43" i="7"/>
  <c r="A44" i="7"/>
  <c r="E43" i="7"/>
  <c r="BI13" i="8"/>
  <c r="M22" i="8"/>
  <c r="B31" i="6"/>
  <c r="BI8" i="8"/>
  <c r="BJ11" i="8"/>
  <c r="BJ9" i="8"/>
  <c r="BI14" i="8"/>
  <c r="BJ7" i="8"/>
  <c r="BJ12" i="8"/>
  <c r="BJ5" i="8"/>
  <c r="BJ10" i="8"/>
  <c r="BI6" i="8"/>
  <c r="CF101" i="8"/>
  <c r="CF105" i="8"/>
  <c r="CM79" i="8"/>
  <c r="CM83" i="8"/>
  <c r="CM75" i="8"/>
  <c r="CM55" i="8"/>
  <c r="CM59" i="8" s="1"/>
  <c r="CF53" i="8"/>
  <c r="CF57" i="8"/>
  <c r="CF45" i="8"/>
  <c r="CF49" i="8" s="1"/>
  <c r="CF41" i="8"/>
  <c r="N383" i="6"/>
  <c r="M383" i="6"/>
  <c r="I383" i="6"/>
  <c r="L383" i="6"/>
  <c r="H383" i="6"/>
  <c r="G383" i="6"/>
  <c r="K383" i="6"/>
  <c r="CF33" i="8"/>
  <c r="J383" i="6"/>
  <c r="B774" i="6"/>
  <c r="AD28" i="4"/>
  <c r="D237" i="8"/>
  <c r="AT10" i="4"/>
  <c r="AH22" i="4"/>
  <c r="B800" i="6"/>
  <c r="D826" i="6"/>
  <c r="BG32" i="8"/>
  <c r="B825" i="6" s="1"/>
  <c r="BH25" i="8"/>
  <c r="AD10" i="4"/>
  <c r="AD7" i="4"/>
  <c r="AD11" i="4"/>
  <c r="V12" i="2"/>
  <c r="Z10" i="4"/>
  <c r="AP13" i="2"/>
  <c r="B650" i="6"/>
  <c r="AB56" i="8"/>
  <c r="AK8" i="8" s="1"/>
  <c r="L211" i="8"/>
  <c r="D167" i="8"/>
  <c r="D212" i="8"/>
  <c r="AA12" i="8" s="1"/>
  <c r="AB12" i="8" s="1"/>
  <c r="D77" i="8"/>
  <c r="AA8" i="8" s="1"/>
  <c r="AB8" i="8" s="1"/>
  <c r="AA10" i="8"/>
  <c r="AB10" i="8"/>
  <c r="A45" i="7"/>
  <c r="A46" i="7"/>
  <c r="A47" i="7"/>
  <c r="B44" i="7"/>
  <c r="K1" i="6"/>
  <c r="E44" i="7"/>
  <c r="CM85" i="8" l="1"/>
  <c r="AU29" i="8"/>
  <c r="BH32" i="8"/>
  <c r="BE58" i="8"/>
  <c r="AS10" i="8" s="1"/>
  <c r="AT10" i="8" s="1"/>
  <c r="AQ29" i="8"/>
  <c r="AQ30" i="8" s="1"/>
  <c r="AQ32" i="8" s="1"/>
  <c r="AQ33" i="8" s="1" a="1"/>
  <c r="AQ33" i="8" s="1"/>
  <c r="AQ41" i="8" s="1"/>
  <c r="G716" i="6" s="1"/>
  <c r="AS29" i="8"/>
  <c r="AS30" i="8" s="1"/>
  <c r="AS32" i="8" s="1"/>
  <c r="AS33" i="8" s="1" a="1"/>
  <c r="AS33" i="8" s="1"/>
  <c r="B119" i="8"/>
  <c r="D121" i="6" s="1"/>
  <c r="D85" i="8"/>
  <c r="B86" i="6" s="1"/>
  <c r="L242" i="8"/>
  <c r="L56" i="8" s="1"/>
  <c r="AW29" i="8"/>
  <c r="D265" i="8"/>
  <c r="L58" i="8" s="1"/>
  <c r="BN10" i="8"/>
  <c r="B30" i="7" s="1"/>
  <c r="D24" i="8"/>
  <c r="D25" i="8" s="1"/>
  <c r="C17" i="6" s="1"/>
  <c r="AP88" i="8"/>
  <c r="D752" i="6" s="1"/>
  <c r="AU30" i="8"/>
  <c r="AU32" i="8" s="1"/>
  <c r="AU33" i="8" s="1" a="1"/>
  <c r="AU33" i="8" s="1"/>
  <c r="AU41" i="8" s="1"/>
  <c r="L192" i="8"/>
  <c r="C293" i="6" s="1"/>
  <c r="D171" i="8"/>
  <c r="L48" i="8" s="1"/>
  <c r="L49" i="8" s="1"/>
  <c r="BU107" i="8"/>
  <c r="C868" i="6" s="1"/>
  <c r="BE42" i="8"/>
  <c r="BQ4" i="8"/>
  <c r="BN12" i="8"/>
  <c r="B32" i="7" s="1"/>
  <c r="BS4" i="8"/>
  <c r="BR4" i="8"/>
  <c r="L171" i="8"/>
  <c r="AC11" i="8" s="1"/>
  <c r="AA11" i="8"/>
  <c r="AB11" i="8" s="1"/>
  <c r="CI29" i="8"/>
  <c r="CG29" i="8"/>
  <c r="CL29" i="8"/>
  <c r="CK29" i="8"/>
  <c r="CF29" i="8"/>
  <c r="CJ29" i="8"/>
  <c r="CM29" i="8"/>
  <c r="CH29" i="8"/>
  <c r="CF154" i="8"/>
  <c r="AT9" i="8"/>
  <c r="AL12" i="8"/>
  <c r="T34" i="8"/>
  <c r="AK7" i="8" s="1"/>
  <c r="AL7" i="8" s="1"/>
  <c r="L213" i="8"/>
  <c r="AL6" i="8"/>
  <c r="AL11" i="8"/>
  <c r="CM47" i="8"/>
  <c r="CM51" i="8" s="1"/>
  <c r="L24" i="8"/>
  <c r="L26" i="8" s="1"/>
  <c r="L27" i="8" s="1"/>
  <c r="L31" i="8" s="1"/>
  <c r="AC14" i="8" s="1"/>
  <c r="AD14" i="8" s="1"/>
  <c r="J1" i="6"/>
  <c r="I1" i="6"/>
  <c r="D66" i="8"/>
  <c r="L40" i="8" s="1"/>
  <c r="AB32" i="8"/>
  <c r="AB36" i="8" s="1"/>
  <c r="AB37" i="8" s="1"/>
  <c r="AV29" i="8"/>
  <c r="AV30" i="8" s="1"/>
  <c r="AV32" i="8" s="1"/>
  <c r="AV33" i="8" s="1" a="1"/>
  <c r="AV33" i="8" s="1"/>
  <c r="AV41" i="8" s="1"/>
  <c r="AR29" i="8"/>
  <c r="AR30" i="8" s="1"/>
  <c r="AR32" i="8" s="1"/>
  <c r="AR33" i="8" s="1" a="1"/>
  <c r="AR33" i="8" s="1"/>
  <c r="AR41" i="8" s="1"/>
  <c r="H716" i="6" s="1"/>
  <c r="AX5" i="8"/>
  <c r="AY5" i="8" s="1"/>
  <c r="BN73" i="8"/>
  <c r="BN75" i="8" s="1"/>
  <c r="BN63" i="8"/>
  <c r="AL10" i="8"/>
  <c r="CF108" i="8"/>
  <c r="AL8" i="8"/>
  <c r="L100" i="8"/>
  <c r="L105" i="8" s="1"/>
  <c r="AS41" i="8"/>
  <c r="I716" i="6" s="1"/>
  <c r="AT7" i="8"/>
  <c r="G1" i="6"/>
  <c r="L151" i="8"/>
  <c r="L47" i="8" s="1"/>
  <c r="BN69" i="8"/>
  <c r="BU116" i="8"/>
  <c r="C886" i="6" s="1"/>
  <c r="AL13" i="8"/>
  <c r="BU168" i="8"/>
  <c r="BW52" i="8" s="1"/>
  <c r="BW57" i="8" s="1"/>
  <c r="AW30" i="8"/>
  <c r="AW32" i="8" s="1"/>
  <c r="AW33" i="8" s="1" a="1"/>
  <c r="AW33" i="8" s="1"/>
  <c r="AW41" i="8" s="1"/>
  <c r="M716" i="6" s="1"/>
  <c r="CF60" i="8"/>
  <c r="BU94" i="8"/>
  <c r="C864" i="6" s="1"/>
  <c r="D246" i="8"/>
  <c r="L54" i="8" s="1"/>
  <c r="AR36" i="8"/>
  <c r="AR60" i="8" s="1"/>
  <c r="BU141" i="8"/>
  <c r="C929" i="6" s="1"/>
  <c r="B190" i="6"/>
  <c r="L46" i="8"/>
  <c r="AT29" i="8"/>
  <c r="AT30" i="8" s="1"/>
  <c r="AT32" i="8" s="1"/>
  <c r="AT33" i="8" s="1" a="1"/>
  <c r="AT33" i="8" s="1"/>
  <c r="AT41" i="8" s="1"/>
  <c r="C964" i="6"/>
  <c r="BU121" i="8"/>
  <c r="D853" i="6" s="1"/>
  <c r="D131" i="6"/>
  <c r="CM63" i="8"/>
  <c r="D198" i="8"/>
  <c r="L51" i="8" s="1"/>
  <c r="BN54" i="8"/>
  <c r="AK14" i="8"/>
  <c r="AL14" i="8" s="1"/>
  <c r="AX29" i="8"/>
  <c r="AX30" i="8" s="1"/>
  <c r="AX32" i="8" s="1"/>
  <c r="AX33" i="8" s="1" a="1"/>
  <c r="AX33" i="8" s="1"/>
  <c r="AX41" i="8" s="1"/>
  <c r="BU134" i="8"/>
  <c r="BW36" i="8" s="1"/>
  <c r="BW41" i="8" s="1"/>
  <c r="B912" i="6" s="1"/>
  <c r="L80" i="8"/>
  <c r="E98" i="6"/>
  <c r="AC12" i="8"/>
  <c r="AD12" i="8" s="1"/>
  <c r="L53" i="8"/>
  <c r="AJ61" i="8"/>
  <c r="B169" i="6"/>
  <c r="C1058" i="6"/>
  <c r="BN14" i="8" l="1"/>
  <c r="B34" i="7" s="1"/>
  <c r="CO20" i="8"/>
  <c r="BE61" i="8"/>
  <c r="L52" i="8"/>
  <c r="L50" i="8"/>
  <c r="C918" i="6"/>
  <c r="D29" i="8"/>
  <c r="AR80" i="8"/>
  <c r="K716" i="6"/>
  <c r="AC10" i="8"/>
  <c r="AD10" i="8" s="1"/>
  <c r="BN77" i="8"/>
  <c r="BR41" i="8" s="1"/>
  <c r="L716" i="6"/>
  <c r="D112" i="8"/>
  <c r="L42" i="8" s="1"/>
  <c r="B959" i="6"/>
  <c r="BW60" i="8"/>
  <c r="AS14" i="8" s="1"/>
  <c r="AT14" i="8" s="1"/>
  <c r="C713" i="6"/>
  <c r="AR62" i="8"/>
  <c r="L153" i="8"/>
  <c r="L154" i="8" s="1"/>
  <c r="AC9" i="8" s="1"/>
  <c r="AD9" i="8" s="1"/>
  <c r="C969" i="6"/>
  <c r="J716" i="6"/>
  <c r="N716" i="6"/>
  <c r="AD11" i="8"/>
  <c r="BU125" i="8"/>
  <c r="BW27" i="8" s="1"/>
  <c r="AS12" i="8" s="1"/>
  <c r="AT12" i="8" s="1"/>
  <c r="BU145" i="8"/>
  <c r="BW43" i="8" s="1"/>
  <c r="AS13" i="8" s="1"/>
  <c r="AT13" i="8" s="1"/>
  <c r="AV35" i="8"/>
  <c r="AR46" i="8" s="1"/>
  <c r="C731" i="6" s="1"/>
  <c r="L84" i="8"/>
  <c r="L85" i="8" s="1"/>
  <c r="L81" i="8"/>
  <c r="L44" i="8" l="1"/>
  <c r="AS8" i="8"/>
  <c r="AT8" i="8" s="1"/>
  <c r="AR83" i="8"/>
  <c r="V11" i="2"/>
  <c r="AD8" i="4"/>
  <c r="BW70" i="8"/>
  <c r="AS15" i="8" s="1"/>
  <c r="AT15" i="8" s="1"/>
  <c r="AC8" i="8"/>
  <c r="AD8" i="8" s="1"/>
  <c r="L43" i="8"/>
  <c r="L41" i="8"/>
  <c r="L39" i="8" l="1"/>
  <c r="AX6" i="8"/>
  <c r="AY6" i="8" s="1"/>
  <c r="AX7" i="8" l="1"/>
  <c r="AY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tc={D67563BC-53D5-4A92-88B1-F8DA12AEB892}</author>
  </authors>
  <commentList>
    <comment ref="D4" authorId="0" shapeId="0" xr:uid="{D67563BC-53D5-4A92-88B1-F8DA12AEB892}">
      <text>
        <t>[Threaded comment]
Your version of Excel allows you to read this threaded comment; however, any edits to it will get removed if the file is opened in a newer version of Excel. Learn more: https://go.microsoft.com/fwlink/?linkid=870924
Comment:
    Responde a este comentario para firmar la Toma de Notas una vez finalizado el proyecto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<sst xmlns="http://schemas.openxmlformats.org/spreadsheetml/2006/main" count="2214" uniqueCount="1242">
  <si>
    <t>3.4. Verificación del marcado</t>
  </si>
  <si>
    <t>Hexano</t>
  </si>
  <si>
    <t>Termohigrómetros</t>
  </si>
  <si>
    <t>Cronómetro digital</t>
  </si>
  <si>
    <t>Otros:</t>
  </si>
  <si>
    <t>Dinamómetro</t>
  </si>
  <si>
    <t>Llave dinamométrica</t>
  </si>
  <si>
    <t>Pie de rey</t>
  </si>
  <si>
    <t>Micrómetro digital</t>
  </si>
  <si>
    <t>4.6. Bloques de conexión</t>
  </si>
  <si>
    <t>4.7.2. Bornes y conexiones a la red de alimentación</t>
  </si>
  <si>
    <t>4.9. Revestimientos y manguitos aislantes</t>
  </si>
  <si>
    <t>X</t>
  </si>
  <si>
    <t>Recinto de temperaturas</t>
  </si>
  <si>
    <t>Cámara climática</t>
  </si>
  <si>
    <t>Rigidez dieléctrica</t>
  </si>
  <si>
    <t>Resistencia de aislamiento</t>
  </si>
  <si>
    <t>4.10. Aislamiento doble o reforzado</t>
  </si>
  <si>
    <t>Indicador de contacto eléctr.</t>
  </si>
  <si>
    <t>Punzón cónico</t>
  </si>
  <si>
    <t>4.12. Tornillos y conexiones mecánicas y prensaestopas</t>
  </si>
  <si>
    <t>Atornillador dinamométrico 60cNm</t>
  </si>
  <si>
    <t>Atornillador dinamométrico 260cNm</t>
  </si>
  <si>
    <t>Flexómetro</t>
  </si>
  <si>
    <t>4.13. Ensayo de golpe martillo impacto</t>
  </si>
  <si>
    <t>Dedo rígido de prueba rígido</t>
  </si>
  <si>
    <t>Martillo resorte</t>
  </si>
  <si>
    <t>Indicador de contacto eléctrico</t>
  </si>
  <si>
    <t>4.14. Suspensiones, fiaciones y dispositivos de regulación</t>
  </si>
  <si>
    <t>Balanza + plataforma</t>
  </si>
  <si>
    <t>Dinamómetro digital</t>
  </si>
  <si>
    <t>4.18. Resistencia a la corrosión</t>
  </si>
  <si>
    <t>Estufa</t>
  </si>
  <si>
    <t>Cloruro de amonio</t>
  </si>
  <si>
    <t>Espectrofotómetro</t>
  </si>
  <si>
    <t>4.28. Fijación de los dispositivos de control sensibles a la temperatura</t>
  </si>
  <si>
    <t>7. Continuidad circuito tierra</t>
  </si>
  <si>
    <t>Medidor de continuidad de tierra (ELABO)</t>
  </si>
  <si>
    <t>3. Marcado</t>
  </si>
  <si>
    <t>4. Construcción</t>
  </si>
  <si>
    <t>4.4. Portalámparas</t>
  </si>
  <si>
    <t>3. MARCADO</t>
  </si>
  <si>
    <t>4. CONSTRUCCIÓN</t>
  </si>
  <si>
    <t>RIGIDEZ</t>
  </si>
  <si>
    <t>RESISTENCIA AISLAMIENTO</t>
  </si>
  <si>
    <t>9.3. Ensayos de IP y humedad</t>
  </si>
  <si>
    <t>Boquillas</t>
  </si>
  <si>
    <t>Dedo de prueba articulado</t>
  </si>
  <si>
    <t>Varilla 2,5mm diámetro</t>
  </si>
  <si>
    <t>Esfera 12,5mm diámetro</t>
  </si>
  <si>
    <t>Varilla 1 mm diámetro</t>
  </si>
  <si>
    <t>Caja de goteo</t>
  </si>
  <si>
    <t>Medidor resistencia de aislamiento</t>
  </si>
  <si>
    <t>8. Protección contra choque eléctrico</t>
  </si>
  <si>
    <t>Dedo de prueba normalizado</t>
  </si>
  <si>
    <t>Sonda 50mm diámetro</t>
  </si>
  <si>
    <t>Multímetro Fluke</t>
  </si>
  <si>
    <t>Multímetro/Pinza UNI-T</t>
  </si>
  <si>
    <t>Osciloscopio</t>
  </si>
  <si>
    <t>10.2.1. Resistencia de aislamiento</t>
  </si>
  <si>
    <t>10.2.2. Rigidez dieléctrica</t>
  </si>
  <si>
    <t>10.3. Corrientes de fuga</t>
  </si>
  <si>
    <t>Corrientes de fuga</t>
  </si>
  <si>
    <t>11.2. Líneas de fuga y distancias en el aire</t>
  </si>
  <si>
    <t>Micrómetro</t>
  </si>
  <si>
    <t>Lámina cinta 0,1-2,00mm</t>
  </si>
  <si>
    <t>Multímetro digital</t>
  </si>
  <si>
    <t>Cámara panelable</t>
  </si>
  <si>
    <t>Medidor temperatura 40 canales</t>
  </si>
  <si>
    <t>Medidor temperatura 32 canales</t>
  </si>
  <si>
    <t>Registrador 20 canales Graphtec</t>
  </si>
  <si>
    <t>Registrador 20 canales Graphtec (Maletín)</t>
  </si>
  <si>
    <t>Estabilizador de tensión</t>
  </si>
  <si>
    <t>Medidor de resistencias de bobinado</t>
  </si>
  <si>
    <t>13.2. Resistencia al calor</t>
  </si>
  <si>
    <t>Registrador</t>
  </si>
  <si>
    <t>Presión con bola</t>
  </si>
  <si>
    <t>Microscopio</t>
  </si>
  <si>
    <t>Cronómetro</t>
  </si>
  <si>
    <t>13.3. Resistencia a la llama y a la inflamación</t>
  </si>
  <si>
    <t>Llama de aguja</t>
  </si>
  <si>
    <t>Mechero Bunsen</t>
  </si>
  <si>
    <t>Gas propano</t>
  </si>
  <si>
    <t>Anexo A (Partes activas)</t>
  </si>
  <si>
    <t>Resistencia para partes activas</t>
  </si>
  <si>
    <t>60598-2-3</t>
  </si>
  <si>
    <t>3.6.5. Rotura cubiertas cristal</t>
  </si>
  <si>
    <t>4.24.2. Riesgo retiniano de luz azul</t>
  </si>
  <si>
    <t>5.2 Cableado interno</t>
  </si>
  <si>
    <t>8. Protección contra coche eléctrico</t>
  </si>
  <si>
    <t>10. Resistencia del aislamiento y fuerza eléctrica</t>
  </si>
  <si>
    <t>12. Endurancia/Calentamientos</t>
  </si>
  <si>
    <t>13. Resistencia al calor, al fuego y a la formación de caminos conductores</t>
  </si>
  <si>
    <t>9. Resistencia a la penetración de polvo, objetos sólidos y a la humedad</t>
  </si>
  <si>
    <t>5. Cableado externo e interno</t>
  </si>
  <si>
    <t>11. Distancias de fuga y distancias de aislamiento</t>
  </si>
  <si>
    <t>Dedo niños hasta 36 meses</t>
  </si>
  <si>
    <t>Zumbador Fig. 34 IEC 60598-1:2020</t>
  </si>
  <si>
    <t>Comentarios:</t>
  </si>
  <si>
    <t>Portalámparas</t>
  </si>
  <si>
    <t>Bornes y conexiones</t>
  </si>
  <si>
    <t>Ensayo de vena 8mm</t>
  </si>
  <si>
    <t>Doble aislamiento y reforzado</t>
  </si>
  <si>
    <t>Tornillo 1</t>
  </si>
  <si>
    <t>Tornillo 2</t>
  </si>
  <si>
    <t>Tornillo 3</t>
  </si>
  <si>
    <t>Tornillo 4</t>
  </si>
  <si>
    <t>Sección del cable</t>
  </si>
  <si>
    <t>T(ºC)</t>
  </si>
  <si>
    <t>H(%)</t>
  </si>
  <si>
    <t>FECHA</t>
  </si>
  <si>
    <t>Los datos pueden tomarse directamente sobre el TRF</t>
  </si>
  <si>
    <t>Portalámparas para lámparas fluorescentes:</t>
  </si>
  <si>
    <t>Soportes montaje casquillo rosca Edisón o bayoneta</t>
  </si>
  <si>
    <t>Dimensiones del bloque de conexión</t>
  </si>
  <si>
    <t>….............................</t>
  </si>
  <si>
    <t>Alto</t>
  </si>
  <si>
    <t>Ancho</t>
  </si>
  <si>
    <t>Profundo</t>
  </si>
  <si>
    <t>Zonas aplicadas:</t>
  </si>
  <si>
    <t>Tornillos, uniones y conexiones (mm)</t>
  </si>
  <si>
    <t>Tornillos</t>
  </si>
  <si>
    <t>Parte</t>
  </si>
  <si>
    <t>Diám. (mm)</t>
  </si>
  <si>
    <t>Tornillo 5</t>
  </si>
  <si>
    <t>Uniones atornilladas</t>
  </si>
  <si>
    <t>Unión 1</t>
  </si>
  <si>
    <t>M(mm)</t>
  </si>
  <si>
    <t>Unión 2</t>
  </si>
  <si>
    <t>Unión 3</t>
  </si>
  <si>
    <t>Prensa 1:</t>
  </si>
  <si>
    <t>Prensa 2:</t>
  </si>
  <si>
    <t>Prensa 3:</t>
  </si>
  <si>
    <t>Impacto</t>
  </si>
  <si>
    <t>- Compresión (mm) según tabla 4.13 norma</t>
  </si>
  <si>
    <t>- Los deterioros de acabados no se toman en consideración</t>
  </si>
  <si>
    <t>Parte frágil 1</t>
  </si>
  <si>
    <t>Parte frágil 2</t>
  </si>
  <si>
    <t>Parte frágil 3</t>
  </si>
  <si>
    <t>Otras partes 1</t>
  </si>
  <si>
    <t>Otras partes 2</t>
  </si>
  <si>
    <t>Otras partes 3</t>
  </si>
  <si>
    <t>Dedo de prueba rígido</t>
  </si>
  <si>
    <t>Comentarios (4.13.1  y 4.13.3):</t>
  </si>
  <si>
    <t>Ensayo de carga</t>
  </si>
  <si>
    <t>Resistencia a la corrosión</t>
  </si>
  <si>
    <t>Solución utilizada</t>
  </si>
  <si>
    <r>
      <t>Tª solución (20</t>
    </r>
    <r>
      <rPr>
        <sz val="11"/>
        <color theme="1"/>
        <rFont val="Calibri"/>
        <family val="2"/>
      </rPr>
      <t>±5ºC)</t>
    </r>
  </si>
  <si>
    <t>Tª aire en caja (20±5ºC)</t>
  </si>
  <si>
    <t>Tª de la estufa (100±5ºC)</t>
  </si>
  <si>
    <t>Season cracking in cooper</t>
  </si>
  <si>
    <t>Preacondic. (24h)</t>
  </si>
  <si>
    <t>Riesgo por luz azul</t>
  </si>
  <si>
    <t>CCT (K)</t>
  </si>
  <si>
    <t>Ilum.  RG1/RG2, Eth (lux)</t>
  </si>
  <si>
    <t>dmin (m)</t>
  </si>
  <si>
    <t>Severidad del ensayo</t>
  </si>
  <si>
    <t>Tª Superior (ºC)</t>
  </si>
  <si>
    <t>Tª Inferior (ºC) [0ºC]</t>
  </si>
  <si>
    <t>Nº ciclos [100]</t>
  </si>
  <si>
    <t>Equipo en funcionamiento durante el ensayo:</t>
  </si>
  <si>
    <t>Condiciones durante el ensayo</t>
  </si>
  <si>
    <t>Tiempo exposición (min) [30min]</t>
  </si>
  <si>
    <t>Tiempo de transferencia (min)</t>
  </si>
  <si>
    <t>Número de ciclos</t>
  </si>
  <si>
    <t>Dispositivo 2</t>
  </si>
  <si>
    <t>Dispositivo 1</t>
  </si>
  <si>
    <t>Dispositivo 3</t>
  </si>
  <si>
    <t>Sección nominal total de los conductores</t>
  </si>
  <si>
    <t>Esta información puede obtenerse también de multiplicar la sección de conductores por el número de conductores (datos tomados en el TRF y fotos)</t>
  </si>
  <si>
    <t>Tras realización de ensayos (ver 12.4):</t>
  </si>
  <si>
    <r>
      <t>Valor (</t>
    </r>
    <r>
      <rPr>
        <sz val="11"/>
        <color theme="1"/>
        <rFont val="Calibri"/>
        <family val="2"/>
      </rPr>
      <t>Ω)</t>
    </r>
    <r>
      <rPr>
        <sz val="11"/>
        <color theme="1"/>
        <rFont val="Calibri"/>
        <family val="2"/>
        <scheme val="minor"/>
      </rPr>
      <t>:</t>
    </r>
  </si>
  <si>
    <t>12.3</t>
  </si>
  <si>
    <t>Endurancia</t>
  </si>
  <si>
    <t>Comentarios (fallos que se producen, si los hay):</t>
  </si>
  <si>
    <t>Calentamiento / (tc) (Normal operation)</t>
  </si>
  <si>
    <t>Calentamiento (Abnormal operation)</t>
  </si>
  <si>
    <t>Calentamiento (Condiciones fallo controlgear)</t>
  </si>
  <si>
    <t xml:space="preserve">Tamaño de las muestras </t>
  </si>
  <si>
    <t>Alto (cm)</t>
  </si>
  <si>
    <t>Ancho (cm)</t>
  </si>
  <si>
    <t>Profundo (cm)</t>
  </si>
  <si>
    <t>Verificaciones adicionales:</t>
  </si>
  <si>
    <t>Radio arco de lluvia a utilizar (cm)</t>
  </si>
  <si>
    <t>Primera cifra</t>
  </si>
  <si>
    <t>Segunda cifra</t>
  </si>
  <si>
    <t>Clasificación IP de las muestras (1)</t>
  </si>
  <si>
    <t>Clasificación IP de las muestras (2)</t>
  </si>
  <si>
    <t>Ensayo humedad 48h</t>
  </si>
  <si>
    <t>Comentarios y defectos observados (si los hay):</t>
  </si>
  <si>
    <t>500V</t>
  </si>
  <si>
    <t>Tensión aplicada:</t>
  </si>
  <si>
    <t>Tiempo de ensayo:</t>
  </si>
  <si>
    <t>1 min</t>
  </si>
  <si>
    <t>Los datos de resultados pueden tomarse directamente sobre el TRF</t>
  </si>
  <si>
    <t>Aclaraciones al ensayo:</t>
  </si>
  <si>
    <t>Para partes SELV/PELV:</t>
  </si>
  <si>
    <t xml:space="preserve">- De forma general se asume que las partes de corriente con polaridad diferente hace referencia a los Polos 1 y 2 (generalmente de secundario)
- En caso de que exista o se identifiquen otras partes de corriente distintas que se sometan a ensayo estas deberán indicarse en el apartado de comentarios.
</t>
  </si>
  <si>
    <t>Para partes distintas a SELV/PELV:</t>
  </si>
  <si>
    <t xml:space="preserve">- De forma general se asume que las partes acivas de polaridad diferente hace referencia a L1 y N (o L1, L2, L3 y N para el caso de más de una fase)
- Además de L-N se ensayan tambien el resto de partes activas identificadas en las combinaciones consideradas por la norma de aplicación.
</t>
  </si>
  <si>
    <t>Los puntos de aplicación del ensayo son los mismos que los identificados en el ensayo de resistencia de aislamiento</t>
  </si>
  <si>
    <r>
      <t xml:space="preserve">Los datos de resultados pueden tomarse directamente sobre el TRF.
</t>
    </r>
    <r>
      <rPr>
        <sz val="11"/>
        <color theme="1"/>
        <rFont val="Calibri"/>
        <family val="2"/>
        <scheme val="minor"/>
      </rPr>
      <t>Valor máximo obtenido para todas las combinaciones de switch de ensayo</t>
    </r>
  </si>
  <si>
    <t>VERIFICACIÓN PARTES ACTIVAS</t>
  </si>
  <si>
    <t>¿SELV?</t>
  </si>
  <si>
    <t>Vac</t>
  </si>
  <si>
    <t>Vdc</t>
  </si>
  <si>
    <t>Medidas para determinar si es parte activa</t>
  </si>
  <si>
    <t>Uout (driver)</t>
  </si>
  <si>
    <t>RATINGS Y OTROS DATOS GENERALES</t>
  </si>
  <si>
    <t>Tensión (V)</t>
  </si>
  <si>
    <t>Corriente (A)</t>
  </si>
  <si>
    <t>Potencia (W)</t>
  </si>
  <si>
    <t>Fact. Pot (PF)</t>
  </si>
  <si>
    <r>
      <t xml:space="preserve">Verificación y medida ratings de la luminaria
</t>
    </r>
    <r>
      <rPr>
        <sz val="10"/>
        <color theme="1"/>
        <rFont val="Calibri"/>
        <family val="2"/>
        <scheme val="minor"/>
      </rPr>
      <t>(Tensión 1)</t>
    </r>
  </si>
  <si>
    <r>
      <rPr>
        <sz val="10"/>
        <color theme="1"/>
        <rFont val="Calibri"/>
        <family val="2"/>
        <scheme val="minor"/>
      </rPr>
      <t>Verificación y medida ratings de la luminaria</t>
    </r>
    <r>
      <rPr>
        <sz val="11"/>
        <color theme="1"/>
        <rFont val="Calibri"/>
        <family val="2"/>
        <scheme val="minor"/>
      </rPr>
      <t xml:space="preserve">
</t>
    </r>
    <r>
      <rPr>
        <sz val="9"/>
        <color theme="1"/>
        <rFont val="Calibri"/>
        <family val="2"/>
        <scheme val="minor"/>
      </rPr>
      <t>(Tensión 2, si procede)</t>
    </r>
  </si>
  <si>
    <t>NORMAS DE APLICACIÓN (ver edición en TRF)</t>
  </si>
  <si>
    <t>Ta</t>
  </si>
  <si>
    <t>Clase</t>
  </si>
  <si>
    <t>Profund. (m):</t>
  </si>
  <si>
    <t>Temp. (ºC):</t>
  </si>
  <si>
    <t>GRADO IP (OBJETIVO)</t>
  </si>
  <si>
    <t>GRADOS IK (OBJETIVO)</t>
  </si>
  <si>
    <t>ºC</t>
  </si>
  <si>
    <t xml:space="preserve">CÓDIGO SERVICIO: </t>
  </si>
  <si>
    <t>Generales de proyecto</t>
  </si>
  <si>
    <t>Parte -2 norma:</t>
  </si>
  <si>
    <t>Clase:</t>
  </si>
  <si>
    <t>Muestras:</t>
  </si>
  <si>
    <t>Ratings y generales</t>
  </si>
  <si>
    <t>Datos necesarios</t>
  </si>
  <si>
    <t>IPX4</t>
  </si>
  <si>
    <t>IPX3</t>
  </si>
  <si>
    <t>IP5X</t>
  </si>
  <si>
    <t>IP6X</t>
  </si>
  <si>
    <t>¿Hace falta tamaño?</t>
  </si>
  <si>
    <t>(Dato necesario para IPX3 e IPX4)</t>
  </si>
  <si>
    <t>(3 por muestra)</t>
  </si>
  <si>
    <t>Datos pendientes</t>
  </si>
  <si>
    <t>Datos rellenos</t>
  </si>
  <si>
    <t>Warining texto aviso</t>
  </si>
  <si>
    <t>(cuenta cuantos datos se han introducido)</t>
  </si>
  <si>
    <t>(cuenta datos pendientes)</t>
  </si>
  <si>
    <t>Si vale 1 aparece texto aviso</t>
  </si>
  <si>
    <t>Faltan datos en sección</t>
  </si>
  <si>
    <t>(Comprueba si está fecha y si hay datos IP)</t>
  </si>
  <si>
    <t xml:space="preserve">Warning Fecha </t>
  </si>
  <si>
    <t>Si vale 1 falta por introducir la fecha</t>
  </si>
  <si>
    <t>TÉCNICO RESPONS:</t>
  </si>
  <si>
    <t>Técnico 1:</t>
  </si>
  <si>
    <t>Técnico 2:</t>
  </si>
  <si>
    <t>Partes activas</t>
  </si>
  <si>
    <t>-2-1</t>
  </si>
  <si>
    <t>-2-2</t>
  </si>
  <si>
    <t>-2-3</t>
  </si>
  <si>
    <t>-2-4</t>
  </si>
  <si>
    <t>-2-5</t>
  </si>
  <si>
    <t>-2-7</t>
  </si>
  <si>
    <t>-2-10</t>
  </si>
  <si>
    <t>-2-13</t>
  </si>
  <si>
    <t>-2-18</t>
  </si>
  <si>
    <t>-2-22</t>
  </si>
  <si>
    <t>¿Parte activa?</t>
  </si>
  <si>
    <t>(Comprueba la checklist de SELV)</t>
  </si>
  <si>
    <t>(Si no es SELV, entoces comprueba checklist de parte activa)</t>
  </si>
  <si>
    <t>N/A</t>
  </si>
  <si>
    <t>Warning Fecha</t>
  </si>
  <si>
    <t xml:space="preserve">Si es verdadero el apartado no aplica </t>
  </si>
  <si>
    <t>Si es verdadero el apartado no aplica</t>
  </si>
  <si>
    <t>4. RESUMEN GENERAL DE SECCIÓN 4</t>
  </si>
  <si>
    <t>Verificación check box</t>
  </si>
  <si>
    <t>(Verifica si hay al menos una casilla marcada)</t>
  </si>
  <si>
    <t>(El valor de la última fuerza un FALSO si todo en blanco)</t>
  </si>
  <si>
    <t>RESULTADO GENERAL</t>
  </si>
  <si>
    <t>FALTAN DATOS</t>
  </si>
  <si>
    <t>N/A SECCIÓN 4</t>
  </si>
  <si>
    <t>N/A Subclause</t>
  </si>
  <si>
    <t>N/A Para este apartado</t>
  </si>
  <si>
    <t>Combina el N/A del punto 4 con el del apartado</t>
  </si>
  <si>
    <t>Ensayo de vena N/A</t>
  </si>
  <si>
    <t>Revisa si se ha marcado N/A en ensayo de vana</t>
  </si>
  <si>
    <t>En casode que aplique ensayo de vena</t>
  </si>
  <si>
    <t>revisa si se ha marcado alguna de las opciones</t>
  </si>
  <si>
    <t>Verificación checkbox ensayo vena</t>
  </si>
  <si>
    <t>Faltan datos en ens. Vena</t>
  </si>
  <si>
    <t>Dimens. Bloque N/A</t>
  </si>
  <si>
    <t>Dimens. Defecto</t>
  </si>
  <si>
    <t>Dimens. Fabricante</t>
  </si>
  <si>
    <t>Datos dimensiones fab</t>
  </si>
  <si>
    <t>Revisa si se ha marcado N/A en dimens</t>
  </si>
  <si>
    <t>Revisa si se ha marcado opción dim. por defecto</t>
  </si>
  <si>
    <t>Revisa si se ha marcado dim. de fabriante</t>
  </si>
  <si>
    <t>Revisa si hay datos de la dimens fab</t>
  </si>
  <si>
    <t>Dimens. Fabr. Completo</t>
  </si>
  <si>
    <t>Comprueba si está todo lo necesario para la opción de dimensines de fabricante</t>
  </si>
  <si>
    <t>Faltan datos bloque conex.</t>
  </si>
  <si>
    <t>Faltan datos sección completa</t>
  </si>
  <si>
    <t>Analiza si están todos los datos del blque conexión</t>
  </si>
  <si>
    <t>Revestimientos y manguitos con temp. superior a tabla 12.2</t>
  </si>
  <si>
    <t>Lugar donde se realiza acondicionamiento de manguitos:</t>
  </si>
  <si>
    <t>Estufa / horno</t>
  </si>
  <si>
    <t>Equipo seleccionado OK</t>
  </si>
  <si>
    <t>Comprueba si hay al menos un equipo</t>
  </si>
  <si>
    <t>Comprueba si se ha selecciondo el equipo</t>
  </si>
  <si>
    <t>N/A porque es Clase I</t>
  </si>
  <si>
    <t>Si es clase I no hace falta aislamiento reforzado</t>
  </si>
  <si>
    <t>Luminaria SIN tornillos</t>
  </si>
  <si>
    <t>Revisa si se han introducido datos sobre tornillos</t>
  </si>
  <si>
    <t>Faltan datos tornillos</t>
  </si>
  <si>
    <t>Datos de tornillos anotados</t>
  </si>
  <si>
    <t>Luminaria SIN uniones atorn.</t>
  </si>
  <si>
    <t>Datos de uniones anotados</t>
  </si>
  <si>
    <t>Verificación checkbox portalámparas</t>
  </si>
  <si>
    <t>RESULTADO  GENERAL</t>
  </si>
  <si>
    <t>Faltan datos portalámp.</t>
  </si>
  <si>
    <t>Faltan datos uniones</t>
  </si>
  <si>
    <t>Prensaestopas</t>
  </si>
  <si>
    <t>Luminaria SIN prensaest</t>
  </si>
  <si>
    <t>Verificación matrial prensaestopas</t>
  </si>
  <si>
    <t>Metal</t>
  </si>
  <si>
    <t>Plástico</t>
  </si>
  <si>
    <t>Verificación datos prensa</t>
  </si>
  <si>
    <t>Revisa el checklist de NO uniones</t>
  </si>
  <si>
    <t>Revisa el check de NO tornillos</t>
  </si>
  <si>
    <t>Revisa si se han introducido datos sobre uniones</t>
  </si>
  <si>
    <t>Revisa que esté marcada al menos una opción</t>
  </si>
  <si>
    <t>(Esta opción es la de NO portalámparas)</t>
  </si>
  <si>
    <t>Cuenta el número de prensaestopas</t>
  </si>
  <si>
    <t>Datos introducidos</t>
  </si>
  <si>
    <t>Faltan datos prensaestopas</t>
  </si>
  <si>
    <t>Verifica si se ha marcado alguna opción de las check</t>
  </si>
  <si>
    <t>Si los datos son comunes a varias muestras pueden anotarse sólo en una de ellas</t>
  </si>
  <si>
    <t>(Comprueba si está fecha y si el apartado aplica)</t>
  </si>
  <si>
    <t>Si los datos son comunes a varias muestras puede anotarse sólo para una de ellas</t>
  </si>
  <si>
    <t>Se usa solución al 10%</t>
  </si>
  <si>
    <t>Se usa otra solución</t>
  </si>
  <si>
    <t>Datos sobre temperaturas</t>
  </si>
  <si>
    <t>Comprueba si hay clic en lacasilla</t>
  </si>
  <si>
    <t>Comprueba si se han rellenado los datos temp.</t>
  </si>
  <si>
    <t>Resultado cheklist</t>
  </si>
  <si>
    <t>Comprueba si al menos una check está marcada</t>
  </si>
  <si>
    <t>Peso lum. (kg)</t>
  </si>
  <si>
    <t>Peso parte (kg)</t>
  </si>
  <si>
    <t>(Ver Anexo F de la norma)</t>
  </si>
  <si>
    <r>
      <t>ph de la solución NH</t>
    </r>
    <r>
      <rPr>
        <vertAlign val="subscript"/>
        <sz val="11"/>
        <color theme="1"/>
        <rFont val="Calibri"/>
        <family val="2"/>
        <scheme val="minor"/>
      </rPr>
      <t>4</t>
    </r>
    <r>
      <rPr>
        <sz val="11"/>
        <color theme="1"/>
        <rFont val="Calibri"/>
        <family val="2"/>
        <scheme val="minor"/>
      </rPr>
      <t>Cl</t>
    </r>
  </si>
  <si>
    <t>Hay datos de solución</t>
  </si>
  <si>
    <t>Si los datos son comunes para todas las muestras puede indicarse sólo para una de ellas</t>
  </si>
  <si>
    <t>Para RG2:</t>
  </si>
  <si>
    <t>RG2</t>
  </si>
  <si>
    <t>Verifica si hay LEDS RG0 o RG1</t>
  </si>
  <si>
    <t>Verifica si hay LEDS RG2 y se necesita más info</t>
  </si>
  <si>
    <t>Para RG2 hay ensayos externo</t>
  </si>
  <si>
    <t>Para RG2 se hacen ensayos internos</t>
  </si>
  <si>
    <t>¿Hay datos externos del LED?</t>
  </si>
  <si>
    <t>¿Ensayamos nosotros?</t>
  </si>
  <si>
    <t>Los datos pueden estar en registros y cáculos adicionales propios del ensayo (p.ej.: excel separado)</t>
  </si>
  <si>
    <t>¿Está todo RG2 relleno?</t>
  </si>
  <si>
    <t>Comprueba si las opciones de RG2 tienen sentido. Da verdadero también si es RG1 o RG0</t>
  </si>
  <si>
    <t>RG0</t>
  </si>
  <si>
    <t>RG1</t>
  </si>
  <si>
    <t>¿Es RG0 ó RG1?</t>
  </si>
  <si>
    <t>¿Son coherentes los check?</t>
  </si>
  <si>
    <t>Comprueba si se han marcado checks y si son coherentes</t>
  </si>
  <si>
    <t>¿Hay al menos un check?</t>
  </si>
  <si>
    <t>Fijación controles detección térmica</t>
  </si>
  <si>
    <t>Si los datos y resultados son comunes para varias muestras pueden rellenarse sólo para una de ellas</t>
  </si>
  <si>
    <t>Se han introducido datos ensayo</t>
  </si>
  <si>
    <t>Revisa si hay al menos 6 datos sobre la configuración del ensayo</t>
  </si>
  <si>
    <t>Comprobación checkbox</t>
  </si>
  <si>
    <t>RESULTADO FINAL</t>
  </si>
  <si>
    <t>Luminaria alimentada por cableado comunicación</t>
  </si>
  <si>
    <t>Protección aspas ventilador</t>
  </si>
  <si>
    <t>7. Tierra</t>
  </si>
  <si>
    <t>N/A Checkbox</t>
  </si>
  <si>
    <t>N/A porque es clase II</t>
  </si>
  <si>
    <t>N/A Total sección</t>
  </si>
  <si>
    <t>Verifica si se ha marcado la casilla N/A</t>
  </si>
  <si>
    <t>Verifica si la luminaria es clase II y por tanto no aplica</t>
  </si>
  <si>
    <t>Unifica los dos criterios anteriores</t>
  </si>
  <si>
    <t>Datos de ensayo</t>
  </si>
  <si>
    <t>Equipo utilizado:</t>
  </si>
  <si>
    <t>No se usa porque pueden tomarse directamente sobre el TRF</t>
  </si>
  <si>
    <t>Equipamiento selecc.</t>
  </si>
  <si>
    <t>Equipo utilizado para ensayo:</t>
  </si>
  <si>
    <t xml:space="preserve">     Corriente: 10A</t>
  </si>
  <si>
    <t xml:space="preserve">     Tiempo ensayo: 1min</t>
  </si>
  <si>
    <t>Resistencia de puesta a tierra</t>
  </si>
  <si>
    <t>Cuando se incorporen las partes -2 habrá quea añadir más casillas al "Y"</t>
  </si>
  <si>
    <t>Dispositivo de anclaje</t>
  </si>
  <si>
    <t>Idoneidad conductores sección reducida</t>
  </si>
  <si>
    <t>N/A Checkbox sección</t>
  </si>
  <si>
    <t>N/A Dispositivo anclaje</t>
  </si>
  <si>
    <t>Faltan datos disp. Anclaje</t>
  </si>
  <si>
    <t>N/A cable secc pequeña</t>
  </si>
  <si>
    <t>Faltan datos en sec peq</t>
  </si>
  <si>
    <t>Faltan datos subclauses</t>
  </si>
  <si>
    <t>RESULTADO</t>
  </si>
  <si>
    <t>Equipos utilizados:</t>
  </si>
  <si>
    <t>Equipos utilizados</t>
  </si>
  <si>
    <t>Comprobación equipos</t>
  </si>
  <si>
    <t>Es verdadero si se selecciona al menos uno</t>
  </si>
  <si>
    <t>Algunos datos pueden tomarse directamente sobre el TRF.
Los registros primarios de estos apartados se encuentran en los excel de calentamiento.</t>
  </si>
  <si>
    <t>(Si hay más de una muestra marcar las fechas a la derecha)</t>
  </si>
  <si>
    <r>
      <rPr>
        <b/>
        <sz val="11"/>
        <color theme="1"/>
        <rFont val="Calibri"/>
        <family val="2"/>
        <scheme val="minor"/>
      </rPr>
      <t>Se realizan EN:</t>
    </r>
    <r>
      <rPr>
        <sz val="11"/>
        <color theme="1"/>
        <rFont val="Calibri"/>
        <family val="2"/>
        <scheme val="minor"/>
      </rPr>
      <t xml:space="preserve"> (marcar </t>
    </r>
    <r>
      <rPr>
        <u/>
        <sz val="11"/>
        <color theme="1"/>
        <rFont val="Calibri"/>
        <family val="2"/>
        <scheme val="minor"/>
      </rPr>
      <t>TODOS</t>
    </r>
    <r>
      <rPr>
        <sz val="11"/>
        <color theme="1"/>
        <rFont val="Calibri"/>
        <family val="2"/>
        <scheme val="minor"/>
      </rPr>
      <t xml:space="preserve"> los lugares utilizados)</t>
    </r>
  </si>
  <si>
    <r>
      <rPr>
        <b/>
        <sz val="11"/>
        <color theme="1"/>
        <rFont val="Calibri"/>
        <family val="2"/>
        <scheme val="minor"/>
      </rPr>
      <t>Se realizan CON:</t>
    </r>
    <r>
      <rPr>
        <sz val="11"/>
        <color theme="1"/>
        <rFont val="Calibri"/>
        <family val="2"/>
        <scheme val="minor"/>
      </rPr>
      <t xml:space="preserve"> (marcar </t>
    </r>
    <r>
      <rPr>
        <u/>
        <sz val="11"/>
        <color theme="1"/>
        <rFont val="Calibri"/>
        <family val="2"/>
        <scheme val="minor"/>
      </rPr>
      <t>TODOS</t>
    </r>
    <r>
      <rPr>
        <sz val="11"/>
        <color theme="1"/>
        <rFont val="Calibri"/>
        <family val="2"/>
        <scheme val="minor"/>
      </rPr>
      <t xml:space="preserve"> los equipos utilizados)</t>
    </r>
  </si>
  <si>
    <t>LUGARES DE ENSAYO:</t>
  </si>
  <si>
    <t>AMPLIACIÓN 1</t>
  </si>
  <si>
    <t>AMPLIACIÓN 2</t>
  </si>
  <si>
    <t>EQUIPOS DE ENSAYO</t>
  </si>
  <si>
    <t>Son verdaderos los equipos marcados</t>
  </si>
  <si>
    <t>No está asignado todavía</t>
  </si>
  <si>
    <t>Al menos un lugar elegido</t>
  </si>
  <si>
    <t>N/A Endurancia</t>
  </si>
  <si>
    <t>Warning fecha endurancia</t>
  </si>
  <si>
    <t>N/A Calent. Normal (tc)</t>
  </si>
  <si>
    <t>Warning fecha cal norm.</t>
  </si>
  <si>
    <t>N/A Calent. Anormal</t>
  </si>
  <si>
    <t>Warning fecha cal anorm.</t>
  </si>
  <si>
    <t>N/A Calent. Cond fallo</t>
  </si>
  <si>
    <t>Warning fecha cond fallo</t>
  </si>
  <si>
    <t>Verifica si se ha aplicado el apartado</t>
  </si>
  <si>
    <t>Faltan datos endurancia</t>
  </si>
  <si>
    <t>Faltan datos cal. Norm.</t>
  </si>
  <si>
    <t>Faltan datos cal.anorm.</t>
  </si>
  <si>
    <t>Faltan datos cond fallo</t>
  </si>
  <si>
    <t>Al menos un eq. Elegido</t>
  </si>
  <si>
    <t>Si vale 1 falta por introducir la fecha (tiene también en cuenta la de la muestra 1)</t>
  </si>
  <si>
    <t>Faltan datos sección</t>
  </si>
  <si>
    <t>IDENTIFICACIÓN DE MUESTRAS</t>
  </si>
  <si>
    <t>Warning texto aviso</t>
  </si>
  <si>
    <t>Clasificación IP a rellenar sólo si es distinta para cada muestra</t>
  </si>
  <si>
    <t>Muestra01</t>
  </si>
  <si>
    <t>Muestra02</t>
  </si>
  <si>
    <t>Muestra03</t>
  </si>
  <si>
    <t>Muestra04</t>
  </si>
  <si>
    <t>Muestra05</t>
  </si>
  <si>
    <t>Muestra06</t>
  </si>
  <si>
    <t>Muestra07</t>
  </si>
  <si>
    <t>Muestra08</t>
  </si>
  <si>
    <t>Alto (H) cm</t>
  </si>
  <si>
    <t>Ancho (A)cm</t>
  </si>
  <si>
    <t>Profundo (P) cm</t>
  </si>
  <si>
    <t>d1</t>
  </si>
  <si>
    <t xml:space="preserve">d </t>
  </si>
  <si>
    <t>R máx (cm)</t>
  </si>
  <si>
    <t>Radios disponibles:</t>
  </si>
  <si>
    <t>cm</t>
  </si>
  <si>
    <t>Radio máximo del arco =d+20cm</t>
  </si>
  <si>
    <t>Elegimos tamaño arco por debajo</t>
  </si>
  <si>
    <t>RADIO ENSAYO</t>
  </si>
  <si>
    <t>¿Es IPX3 ó IPX4?</t>
  </si>
  <si>
    <t>Información a trasladar a la toma de datos:</t>
  </si>
  <si>
    <t>INFO:</t>
  </si>
  <si>
    <t>Cabeza de regadera (si R necesario &gt; 120cm)</t>
  </si>
  <si>
    <t>Caudalímetro</t>
  </si>
  <si>
    <t>Depósitos de inmersión</t>
  </si>
  <si>
    <t>IPX1</t>
  </si>
  <si>
    <t>IPX2</t>
  </si>
  <si>
    <t>IPX5</t>
  </si>
  <si>
    <t>IPX6</t>
  </si>
  <si>
    <t>IPX7</t>
  </si>
  <si>
    <t>IPX8</t>
  </si>
  <si>
    <t>IPX9</t>
  </si>
  <si>
    <t>EA-CERT-176+177 (depós)</t>
  </si>
  <si>
    <t>Verdadero si IPX1 ó IPX2</t>
  </si>
  <si>
    <t>Verdadero si IPX3 ó IPX4 y tamaño del EBP grande</t>
  </si>
  <si>
    <t xml:space="preserve">Verdadero si IPX3 ó IPX4 </t>
  </si>
  <si>
    <t>Verdadero si IPX7 ó IPX8</t>
  </si>
  <si>
    <t>Verdadero si IPX5 ó IPX6</t>
  </si>
  <si>
    <t>Verdadero si IPX9</t>
  </si>
  <si>
    <t>¿Cab. Regadera?</t>
  </si>
  <si>
    <t xml:space="preserve"> </t>
  </si>
  <si>
    <t>N/A Primera cifra</t>
  </si>
  <si>
    <t>Verifica si aplica este apartado</t>
  </si>
  <si>
    <t>Warning fecha primera cifra</t>
  </si>
  <si>
    <t>Faltan datos primera cifra</t>
  </si>
  <si>
    <t>Temperatura agua</t>
  </si>
  <si>
    <t>Verifica si se ha marcado el check de temperatura de agua</t>
  </si>
  <si>
    <t>Hay datos sobre grado IP</t>
  </si>
  <si>
    <t>Si IPX3 o IPX4 ¿hay dimensiones?</t>
  </si>
  <si>
    <t>¿Hay dimensiones?</t>
  </si>
  <si>
    <t>También vale VERDADERO SI no es IPX3/X4</t>
  </si>
  <si>
    <t>N/A Segunda cifa</t>
  </si>
  <si>
    <t>N/A este partado</t>
  </si>
  <si>
    <t>Warning fecha segunda cifra</t>
  </si>
  <si>
    <t>Faltan datos segunda cifra</t>
  </si>
  <si>
    <t>Humedad</t>
  </si>
  <si>
    <t>N/A Humedad</t>
  </si>
  <si>
    <t>N/A este apartado</t>
  </si>
  <si>
    <t>Warning fecha humedad</t>
  </si>
  <si>
    <t>Faltan datos humedad</t>
  </si>
  <si>
    <t>Faltan datos secc. 9</t>
  </si>
  <si>
    <t>Vefifica si faltan datos en toda la sección 9</t>
  </si>
  <si>
    <t>IP1X</t>
  </si>
  <si>
    <t>IP2X</t>
  </si>
  <si>
    <t>IP3X</t>
  </si>
  <si>
    <t>IP4X</t>
  </si>
  <si>
    <t>XXXXX</t>
  </si>
  <si>
    <t>RES. AISLM.</t>
  </si>
  <si>
    <t>CORR FUGA</t>
  </si>
  <si>
    <t>RESUMEN</t>
  </si>
  <si>
    <t>¿Hay equipos seleccionados?</t>
  </si>
  <si>
    <t>PREVISIÓN 1</t>
  </si>
  <si>
    <t>PREVISIÓN 2</t>
  </si>
  <si>
    <t>¿Portatil clase I?</t>
  </si>
  <si>
    <t>Revisamos si es necesario usar kikusui para corientes de fuga</t>
  </si>
  <si>
    <t>Verifica si aplica esta subclause</t>
  </si>
  <si>
    <t>Warning fecha</t>
  </si>
  <si>
    <t>Faltan datos aislamiento</t>
  </si>
  <si>
    <t>N/A aislamiento</t>
  </si>
  <si>
    <t>N/A subclause</t>
  </si>
  <si>
    <t>Rigidez</t>
  </si>
  <si>
    <t>N/A rigidez</t>
  </si>
  <si>
    <t>Faltan datos rigidez</t>
  </si>
  <si>
    <t>Corrientes fuga</t>
  </si>
  <si>
    <t>N/A corr fuga</t>
  </si>
  <si>
    <t>Combina subclause con apartado completo</t>
  </si>
  <si>
    <t>FALTAN DATOS SECCIÓN</t>
  </si>
  <si>
    <t>Faltan datos corr fuga</t>
  </si>
  <si>
    <t>Distancia 1:</t>
  </si>
  <si>
    <t>Distancia 2:</t>
  </si>
  <si>
    <t>Distancia 4:</t>
  </si>
  <si>
    <t>Distancia 3:</t>
  </si>
  <si>
    <t>LF y DA (Tabla 1)</t>
  </si>
  <si>
    <t>LF y DA (Tabla 2)</t>
  </si>
  <si>
    <t>DEFINICIÓN DE LAS DISTANCIAS
(si procede)</t>
  </si>
  <si>
    <t>11. LF y DA</t>
  </si>
  <si>
    <t>N/A Checkbox tabla 1</t>
  </si>
  <si>
    <t>N/A Checkbox tabla 2</t>
  </si>
  <si>
    <t>Vale 1 si no hay fecha indicada</t>
  </si>
  <si>
    <t>Resistencia al calor (Ensayo de bola)</t>
  </si>
  <si>
    <t>13.2.1</t>
  </si>
  <si>
    <t>Hilo incandescente</t>
  </si>
  <si>
    <t>Verificaciones previas al ensayo:</t>
  </si>
  <si>
    <t>El resto de los datos de resultados pueden tomarse directamente sobre el TRF</t>
  </si>
  <si>
    <t>N/A Bola</t>
  </si>
  <si>
    <t>N/A Sección bola</t>
  </si>
  <si>
    <t>Comprueba si la sección + ensayo aplican</t>
  </si>
  <si>
    <t>Faltan datos bola</t>
  </si>
  <si>
    <t>N/A Llama aguja</t>
  </si>
  <si>
    <t>Warning fecha bola</t>
  </si>
  <si>
    <t>Warning fecha aguja</t>
  </si>
  <si>
    <t>Checklist aguja</t>
  </si>
  <si>
    <t>TOTAL</t>
  </si>
  <si>
    <t>N/A sección Llama aguja</t>
  </si>
  <si>
    <t>Faltan datos aguja</t>
  </si>
  <si>
    <t>Revisa que estén todas las opciones marcadas. FALSO si no están marcados</t>
  </si>
  <si>
    <t>Warning fecha hilo</t>
  </si>
  <si>
    <t>Checklist hilo</t>
  </si>
  <si>
    <t>Faltan datos hilo</t>
  </si>
  <si>
    <t>N/A hilo</t>
  </si>
  <si>
    <t>N/A sección  hilo</t>
  </si>
  <si>
    <t>Formación caminos conductores</t>
  </si>
  <si>
    <t>N/A Caminos</t>
  </si>
  <si>
    <t>N/A Sección caminos</t>
  </si>
  <si>
    <t>Warning fecha caminos</t>
  </si>
  <si>
    <t>Faltan datos caminos</t>
  </si>
  <si>
    <t>Juego de galgas</t>
  </si>
  <si>
    <t>Comprobador termopares 2 canales</t>
  </si>
  <si>
    <t>Regla graduada</t>
  </si>
  <si>
    <t>Equipo de hilo incandescente</t>
  </si>
  <si>
    <t>IK N/A</t>
  </si>
  <si>
    <t>IK06</t>
  </si>
  <si>
    <t>IK08</t>
  </si>
  <si>
    <t>IK09</t>
  </si>
  <si>
    <t>IK10</t>
  </si>
  <si>
    <t>¿NORMA?</t>
  </si>
  <si>
    <t>¿HAY IPX_?</t>
  </si>
  <si>
    <t>¿HAY IP_x?</t>
  </si>
  <si>
    <t>IK07</t>
  </si>
  <si>
    <t>IK11 (reserv.)</t>
  </si>
  <si>
    <t>En caso de utilizar equipos adicionales debe indicarse en el apartado "otros"</t>
  </si>
  <si>
    <t>Se asume que los equipo de cailla en blanco se han utilizado ya que son equipos por defecto. Si agún equipo de las casillas blancas no se ha utilizado debe eliminarse, tacharse o indicar "NO" en la casilla de selección</t>
  </si>
  <si>
    <t>SECCIÓN 11</t>
  </si>
  <si>
    <t>SECCIÓN 7</t>
  </si>
  <si>
    <t>SECCIÓN 12</t>
  </si>
  <si>
    <t>SECCIÓN 10</t>
  </si>
  <si>
    <t>SECCIÓN 9</t>
  </si>
  <si>
    <t>SECCIÓN 13</t>
  </si>
  <si>
    <t>IDENT. PARTE ACTIVA</t>
  </si>
  <si>
    <t>ENSAYOS ADICIONALES DE PARTES -2</t>
  </si>
  <si>
    <t>…</t>
  </si>
  <si>
    <t>NO</t>
  </si>
  <si>
    <t>SECCIÓN 8</t>
  </si>
  <si>
    <t>Cámara de polvo</t>
  </si>
  <si>
    <t>¿Cámara de polvo?</t>
  </si>
  <si>
    <t>IRC</t>
  </si>
  <si>
    <t>Banco de pruebas eléctricas</t>
  </si>
  <si>
    <t>Conductímetro</t>
  </si>
  <si>
    <t>Soluciones conductividad</t>
  </si>
  <si>
    <t>Las casillas coloreadas (excepto amarillo) indican equipos alternativos. Para estas casillas deben marcarse con una "X" sólo los equipos que procedan</t>
  </si>
  <si>
    <t>Las celdas marcadas en amarillo corresponden con "novedades" o warnings y se resaltan para llamar la atención de los técnicos de ensayo.</t>
  </si>
  <si>
    <t>4. Construcción (import.)</t>
  </si>
  <si>
    <t>4.6 y 4.7.2 Ensayo vena</t>
  </si>
  <si>
    <t>4.13 Impacto</t>
  </si>
  <si>
    <t>4.14 Carga</t>
  </si>
  <si>
    <t>4.24 Luz azul</t>
  </si>
  <si>
    <t>4.12 Tornillos, etc</t>
  </si>
  <si>
    <t>¿APLICA?</t>
  </si>
  <si>
    <t>¿FIN?</t>
  </si>
  <si>
    <t>PESO EN PROY</t>
  </si>
  <si>
    <t>PESO GRAL.</t>
  </si>
  <si>
    <t>PESO FIN.</t>
  </si>
  <si>
    <t>8. Prot choques electr.</t>
  </si>
  <si>
    <t>12. Calentamientos</t>
  </si>
  <si>
    <t>12.3 Endurancia</t>
  </si>
  <si>
    <t>12.4 Calentam + tc</t>
  </si>
  <si>
    <t>12.5 Anormal</t>
  </si>
  <si>
    <t>12.6+12.7 Cond. Fallo</t>
  </si>
  <si>
    <t>9. IP</t>
  </si>
  <si>
    <t>IP5X/IP6X</t>
  </si>
  <si>
    <t>IPX_</t>
  </si>
  <si>
    <t>10.2 Rigidez y Resist. Aisl.</t>
  </si>
  <si>
    <t>10.3 Corrientes de fuga</t>
  </si>
  <si>
    <t>13. FUEGO</t>
  </si>
  <si>
    <t>Bola</t>
  </si>
  <si>
    <t>Llama</t>
  </si>
  <si>
    <t>Hilo</t>
  </si>
  <si>
    <t>PESO TOTAL PROYECTO</t>
  </si>
  <si>
    <t>PESO EJECUTADO</t>
  </si>
  <si>
    <t>PESO PENDIENTE</t>
  </si>
  <si>
    <t>UNIDADES</t>
  </si>
  <si>
    <t>(%)</t>
  </si>
  <si>
    <t>Partes activa</t>
  </si>
  <si>
    <t>Estado del proyecto (secciones importantes) [EN FASE DE IMPLEMENTACIÓN]</t>
  </si>
  <si>
    <t>Nº Muestras</t>
  </si>
  <si>
    <t>IK</t>
  </si>
  <si>
    <t>Termohigrómetro</t>
  </si>
  <si>
    <t>Péndulo de golpeo (con su correspondiente pesa)</t>
  </si>
  <si>
    <t>EN 62262:2002 + A1:2021 / IEC TR 62696:2011</t>
  </si>
  <si>
    <t>Descripción:</t>
  </si>
  <si>
    <t>Nº impactos:</t>
  </si>
  <si>
    <t>PUNTOS DE APLICACIÓN</t>
  </si>
  <si>
    <t>Información sobre montaje, preacondicionamiento y partes móviles pueden tomarse directamente sobre el TRF. 
Si se requieren aclaraciones adicionales debe indicarse en el apartado de "comentarios"</t>
  </si>
  <si>
    <t>GRADO IK ALCANZADO</t>
  </si>
  <si>
    <t>No se aplican más de tres golpes en las inmediaciones de un mismo punto a no ser que se indique lo contrario en la toma de notas.</t>
  </si>
  <si>
    <t>ENERGÍA ASOCIADA A CADA CÓDIGO:</t>
  </si>
  <si>
    <t>IK01=0,14J</t>
  </si>
  <si>
    <t>IK02=0,20J</t>
  </si>
  <si>
    <t>IK03=0,35J</t>
  </si>
  <si>
    <t>IK04=0,50J</t>
  </si>
  <si>
    <t>IK05=0,70J</t>
  </si>
  <si>
    <t>IK06=1J</t>
  </si>
  <si>
    <t>IK07=2J</t>
  </si>
  <si>
    <t>IK08=5J</t>
  </si>
  <si>
    <t>IK09=10J</t>
  </si>
  <si>
    <t>IK10=20J</t>
  </si>
  <si>
    <r>
      <t>OBJETO:</t>
    </r>
    <r>
      <rPr>
        <sz val="11"/>
        <color theme="1"/>
        <rFont val="Calibri"/>
        <family val="2"/>
        <scheme val="minor"/>
      </rPr>
      <t xml:space="preserve"> Se aplica en lo referente a la resistencia a los impactos mecánicos externos y la clasificación de los grados de protección proporcionados por las envolventes para materiales eléctricos de tensión asignada inferior o igual a 72.5kV</t>
    </r>
  </si>
  <si>
    <r>
      <t>MÉTODO DE ENSAYO:</t>
    </r>
    <r>
      <rPr>
        <sz val="11"/>
        <color theme="1"/>
        <rFont val="Calibri"/>
        <family val="2"/>
        <scheme val="minor"/>
      </rPr>
      <t xml:space="preserve"> Se aplican golpes a la envolvente a ensayar, la cual se fija a un soporte rígido (desplazamiento inferior o igual a 0,1mm bajo el efecto de un golpe que se aplique directamente y cuya energía corresponda al grado de protección de la envolvente de ensayo según las tablas indicadas en la norma de referencia).</t>
    </r>
  </si>
  <si>
    <r>
      <t>MÉTODO DE FIJACIÓN DE LA MUESTRA:</t>
    </r>
    <r>
      <rPr>
        <sz val="11"/>
        <color theme="1"/>
        <rFont val="Calibri"/>
        <family val="2"/>
        <scheme val="minor"/>
      </rPr>
      <t xml:space="preserve"> Se fija la muestra de manera que quede pegada a la superficie de ensayo para que en el impacto no se desplace la muestra. </t>
    </r>
  </si>
  <si>
    <t>¿HAY IK INFO?</t>
  </si>
  <si>
    <t>INFORMACIÓN ADICIONAL (Abrir con "+"):</t>
  </si>
  <si>
    <t>EQUIPOS A UTILIZAR PARA CADA UNO DE LOS ENSAYOS
(LEYENDA)</t>
  </si>
  <si>
    <t>EQUIPOS UTILIZADOS PARA ENSAYOS</t>
  </si>
  <si>
    <t>CÓDIGO PROYECTO:</t>
  </si>
  <si>
    <t>60598-2-1</t>
  </si>
  <si>
    <t>60598-2-2</t>
  </si>
  <si>
    <t>(3.6.3.1) ENSAYO DE CARGA ESTÁTICA</t>
  </si>
  <si>
    <t>(3.6.8) PUERTA DE ACCESO LUM. INTEGRADA EN COLUMNA</t>
  </si>
  <si>
    <t>- SIN REQUISITOS ADICIONALES DE CONSTRUCCIÓN</t>
  </si>
  <si>
    <t>Altura de montaje:</t>
  </si>
  <si>
    <t>Fuerza (N)</t>
  </si>
  <si>
    <t>CÁLCULOS</t>
  </si>
  <si>
    <r>
      <t>Área (m</t>
    </r>
    <r>
      <rPr>
        <b/>
        <vertAlign val="superscript"/>
        <sz val="11"/>
        <color theme="1"/>
        <rFont val="Calibri"/>
        <family val="2"/>
        <scheme val="minor"/>
      </rPr>
      <t>2</t>
    </r>
    <r>
      <rPr>
        <b/>
        <sz val="11"/>
        <color theme="1"/>
        <rFont val="Calibri"/>
        <family val="2"/>
        <scheme val="minor"/>
      </rPr>
      <t>)</t>
    </r>
  </si>
  <si>
    <t>- ENSAYOS ADICIONALES A REALIZAR (si proceden)</t>
  </si>
  <si>
    <t>(3.6.5.1) ROTURA CRISTAL EN FRAGMENTOS PEQUEÑOS</t>
  </si>
  <si>
    <t>(3.6.5.2) CRISTAL DE GRAN RESISTENCIA AL IMPACTO</t>
  </si>
  <si>
    <t>Aplica esta parte -2</t>
  </si>
  <si>
    <t>Carga estática N/A</t>
  </si>
  <si>
    <t>Verifica con la parte 2</t>
  </si>
  <si>
    <t>Algura carga estática</t>
  </si>
  <si>
    <t>Menor 8m</t>
  </si>
  <si>
    <t>Entre 8-15m</t>
  </si>
  <si>
    <t>Mayor 15m</t>
  </si>
  <si>
    <t>¿Marcado 1 o ninguna?</t>
  </si>
  <si>
    <t>Velocidad viento (m/s)</t>
  </si>
  <si>
    <t>Cálculo fuerza (N)</t>
  </si>
  <si>
    <t>Vale 1 si no hay fecha</t>
  </si>
  <si>
    <t>Faltan datos carga estát.</t>
  </si>
  <si>
    <t>Carga estática conjto N/A</t>
  </si>
  <si>
    <t>Rotura N/A</t>
  </si>
  <si>
    <t>Rotura conjunto N/A</t>
  </si>
  <si>
    <t>Faltan datos Rotura</t>
  </si>
  <si>
    <t>Cristal gran resist N/A</t>
  </si>
  <si>
    <t>Cristal gran resist conjunto N/A</t>
  </si>
  <si>
    <t>Faltan datos Cristal gran resist</t>
  </si>
  <si>
    <t>Puerta acceso N/A</t>
  </si>
  <si>
    <t>Puerta acceso conjunto N/A</t>
  </si>
  <si>
    <t>Faltan datos Puerta acceso</t>
  </si>
  <si>
    <t>Faltan datos de -2-3</t>
  </si>
  <si>
    <t>3.6.3.1. Ensayo de carga estática</t>
  </si>
  <si>
    <t>Balanza</t>
  </si>
  <si>
    <t>Punzón</t>
  </si>
  <si>
    <t>3.6.5.2. Cristal gran resistencia
3.6.8. Puerta de acceso</t>
  </si>
  <si>
    <t>Péndulo de golpeo (IK08)</t>
  </si>
  <si>
    <t>60598-2-4</t>
  </si>
  <si>
    <t>(4.7.3) ESTABILIDAD (Plano inclinado 6º y 15º)</t>
  </si>
  <si>
    <t>Warning fecha -2-4</t>
  </si>
  <si>
    <t>Faltan datos de -2-4</t>
  </si>
  <si>
    <t>60598-2-5</t>
  </si>
  <si>
    <t>Inclinómetro</t>
  </si>
  <si>
    <t>(5.6.5) ENSAYO DE CARGA ESTÁTICA</t>
  </si>
  <si>
    <t>Faltan datos de -2-5</t>
  </si>
  <si>
    <t>Warning datos tamaño</t>
  </si>
  <si>
    <t>Revisa si hay datos de tamaño</t>
  </si>
  <si>
    <t>5.6.5. Ensayo de carga estática</t>
  </si>
  <si>
    <t>(5.6.8.1) ROTURA CRISTAL EN FRAGMENTOS PEQUEÑOS</t>
  </si>
  <si>
    <t>(5.6.8.2) CRISTAL DE GRAN RESISTENCIA AL IMPACTO</t>
  </si>
  <si>
    <t>5.6.8.1. Rotura cubiertas cristal</t>
  </si>
  <si>
    <t>5.6.8.2. Cristal gran resistencia</t>
  </si>
  <si>
    <t>60598-2-10</t>
  </si>
  <si>
    <t>(10.6.2) ESTABILIDAD 15º</t>
  </si>
  <si>
    <t>(10.6.3) Resistencia impacto y caída</t>
  </si>
  <si>
    <t>60598-2-13</t>
  </si>
  <si>
    <t>(18.7.2) Impacto mécanico</t>
  </si>
  <si>
    <t>PONER AQUÍ DATOS SOBRE LA SOLUCIÓN A UTILIZAR</t>
  </si>
  <si>
    <t>60598-2-18</t>
  </si>
  <si>
    <t>60598-2-22</t>
  </si>
  <si>
    <t>¿Es parte activa?</t>
  </si>
  <si>
    <t>SELV SI</t>
  </si>
  <si>
    <t>SELV NO</t>
  </si>
  <si>
    <t>ACTIVA SI</t>
  </si>
  <si>
    <t>ACTIVA NO</t>
  </si>
  <si>
    <t>¿Es SELV?</t>
  </si>
  <si>
    <t>10.6.2 Estabilidad</t>
  </si>
  <si>
    <t>10.6.3 Resistencia al impacto y caida</t>
  </si>
  <si>
    <t>Lámina acero</t>
  </si>
  <si>
    <t>Aplica esta parte 2</t>
  </si>
  <si>
    <t>Estabilidad N/A</t>
  </si>
  <si>
    <t>Estabilidad cjoto N/A</t>
  </si>
  <si>
    <t>Warning fecha estabilidad</t>
  </si>
  <si>
    <t>Faltan datos estabilidad</t>
  </si>
  <si>
    <t>Impacto N/A</t>
  </si>
  <si>
    <t>Impacto cjoto N/A</t>
  </si>
  <si>
    <t>Warning fecha impacto</t>
  </si>
  <si>
    <t>(13.6.1) Resistencia a la carga estática</t>
  </si>
  <si>
    <t>Warning fecha -2-13</t>
  </si>
  <si>
    <t>Faltan datos de -2-13</t>
  </si>
  <si>
    <t>13.6.1. Ensayo de carga estática</t>
  </si>
  <si>
    <t>18.7.2. Impacto mecánico</t>
  </si>
  <si>
    <t>(18.7.3) Corrosión</t>
  </si>
  <si>
    <t>18.7.3 Corrosión</t>
  </si>
  <si>
    <t>Impacto conjto N/A</t>
  </si>
  <si>
    <t>Faltan datos de impacto</t>
  </si>
  <si>
    <t>Warning fecha corrosión</t>
  </si>
  <si>
    <t>Faltan datos de corrosión</t>
  </si>
  <si>
    <t>Corrosión N/A</t>
  </si>
  <si>
    <t>Corrosión conjto N/A</t>
  </si>
  <si>
    <t>Faltan datos -2-18</t>
  </si>
  <si>
    <t>Reactivos Solución A</t>
  </si>
  <si>
    <t>FALTAN DATOS EN ALGUNA PARTE -2</t>
  </si>
  <si>
    <t>IK (62262)</t>
  </si>
  <si>
    <t>62031 (integ)</t>
  </si>
  <si>
    <t>62031 (indp)</t>
  </si>
  <si>
    <t>Ediciones de normas empleadas</t>
  </si>
  <si>
    <t>60598-1</t>
  </si>
  <si>
    <t>Otro</t>
  </si>
  <si>
    <t>OTRO</t>
  </si>
  <si>
    <t>TEXTO IEC</t>
  </si>
  <si>
    <t>TEXTO EN</t>
  </si>
  <si>
    <t>FACTOR</t>
  </si>
  <si>
    <t>IMPR IEC</t>
  </si>
  <si>
    <t>IMPR EN</t>
  </si>
  <si>
    <t xml:space="preserve">IEC 60598-2-5:2015; </t>
  </si>
  <si>
    <t>TEXTO 62031 + IK</t>
  </si>
  <si>
    <t xml:space="preserve">IEC 62031:2018; </t>
  </si>
  <si>
    <t xml:space="preserve">IEC 60598-2-3:2002+AMD1:2011; </t>
  </si>
  <si>
    <t xml:space="preserve">EN 60598-2-3:2003+A1:2011; </t>
  </si>
  <si>
    <t xml:space="preserve">IEC 60598-2-1:2020; </t>
  </si>
  <si>
    <t xml:space="preserve">EN IEC 60598-2-1:2021; </t>
  </si>
  <si>
    <t xml:space="preserve">EN 60598-2-15:2015; </t>
  </si>
  <si>
    <t xml:space="preserve">IEC 60598-2-10:2003; </t>
  </si>
  <si>
    <t xml:space="preserve">IEC 60598-2-22:2021; </t>
  </si>
  <si>
    <t xml:space="preserve">EN 60598-2-10:2003; </t>
  </si>
  <si>
    <t>IEC 60598-2-4:2017;</t>
  </si>
  <si>
    <t xml:space="preserve">EN 60598-2-13:2006+A1:2012+A2:2016+A11:2021; </t>
  </si>
  <si>
    <t xml:space="preserve">IEC 60598-2-13:2006+AMD1:2011+A2:2016; </t>
  </si>
  <si>
    <t>EN IEC 60598-2-22:2022</t>
  </si>
  <si>
    <t xml:space="preserve">EN 60598-2-4:2018; </t>
  </si>
  <si>
    <t>EDICIONES DE NORMAS APLICADAS:</t>
  </si>
  <si>
    <t>IPX0</t>
  </si>
  <si>
    <t>IK11=50J</t>
  </si>
  <si>
    <t>(22.17.3) Mantenimiento del nivel</t>
  </si>
  <si>
    <t>Tiempo duración bat. asignada (h)</t>
  </si>
  <si>
    <t>Ilum.  5s después del fallo (lux)</t>
  </si>
  <si>
    <t>Ilum.  60s después del fallo (lux)</t>
  </si>
  <si>
    <t>Ilum. tras tiempo durac. Bat (lux)</t>
  </si>
  <si>
    <t>MEDIDAS DE CARACTERÍASTICAS EN MODO EMERGENCIA</t>
  </si>
  <si>
    <t>(22.19) Funcionamientoa alta temperatura</t>
  </si>
  <si>
    <t>MEDIDAS en (lux)</t>
  </si>
  <si>
    <t>Ilum. Ta 60s después de desconex</t>
  </si>
  <si>
    <t>Ilum. 70ºC 60s después de desconex</t>
  </si>
  <si>
    <t>Ilum. 70ºC 30m después de desconex</t>
  </si>
  <si>
    <t>Mantenim N/A</t>
  </si>
  <si>
    <t>Mantenim subcon</t>
  </si>
  <si>
    <t>Verifica si el apartado se subcontrata, porque sería parecido a un N/A</t>
  </si>
  <si>
    <t>Manten conjto N/A</t>
  </si>
  <si>
    <t>Verifica con la parte 2 (indica también N/A si se subcontrata)</t>
  </si>
  <si>
    <t>Se realiza la carga durante 24h o tiempo declarado por fabricante</t>
  </si>
  <si>
    <t>Warning datos luxes</t>
  </si>
  <si>
    <t>Vale 1 si no hay al menos 4 datos</t>
  </si>
  <si>
    <t>Faltan datos  Mantenim</t>
  </si>
  <si>
    <t>Temperatura N/A</t>
  </si>
  <si>
    <t>Temperatura conjto N/A</t>
  </si>
  <si>
    <t>Warning fecha temperatura</t>
  </si>
  <si>
    <t>Faltan datos  temperatura</t>
  </si>
  <si>
    <t>Vale 1 si no hay al menos 3 datos</t>
  </si>
  <si>
    <t>Faltan datos -2-22</t>
  </si>
  <si>
    <t>22.17.3 Mantenimiento flujo
22.19 Funcionamiento alta temperatura</t>
  </si>
  <si>
    <t>HISTORICO DEL PROYECTO:</t>
  </si>
  <si>
    <t>Requisitos generales</t>
  </si>
  <si>
    <t>14.4</t>
  </si>
  <si>
    <t>Ensayos mecánicos</t>
  </si>
  <si>
    <t>Bornes y conexiones para cableado interno</t>
  </si>
  <si>
    <t>Bornes y conexiones para cableado externo</t>
  </si>
  <si>
    <t>N/A Checkbox 14 ni 15</t>
  </si>
  <si>
    <t>FALTAN DATOS 14 Y 15</t>
  </si>
  <si>
    <t>N/A checkbox tornillo</t>
  </si>
  <si>
    <t>N/A Sección tornillo</t>
  </si>
  <si>
    <t>Warning fecha req gen</t>
  </si>
  <si>
    <t>Faltan datos req gen</t>
  </si>
  <si>
    <t>Warning fecha mecánicos</t>
  </si>
  <si>
    <t>Faltan datos meánicos</t>
  </si>
  <si>
    <t>Verifica si faltan datos en toda la sección 14</t>
  </si>
  <si>
    <t>N/A checkbox SIN tornillo</t>
  </si>
  <si>
    <t>N/A Sección SIN tornillo</t>
  </si>
  <si>
    <t>N/ACheck Cableado interno</t>
  </si>
  <si>
    <t>Verifica el checkbox del cableado interno</t>
  </si>
  <si>
    <t>N/A Cableado interno</t>
  </si>
  <si>
    <t>Combian el checkbos junto con el resto de sección</t>
  </si>
  <si>
    <t>Warning fecha cabl.int</t>
  </si>
  <si>
    <t>Faltan datos cabl. Int</t>
  </si>
  <si>
    <t>SECCIÓN 14</t>
  </si>
  <si>
    <t>Multímetro laboratorio</t>
  </si>
  <si>
    <t>Dinamómetro 500N</t>
  </si>
  <si>
    <t>Dinamómetro 10N</t>
  </si>
  <si>
    <t xml:space="preserve">ENSAYO DE IK </t>
  </si>
  <si>
    <t>Luminaria</t>
  </si>
  <si>
    <t>Grupo óptico</t>
  </si>
  <si>
    <t>Lugar donde se realiza el ensayo:</t>
  </si>
  <si>
    <t>Cámara</t>
  </si>
  <si>
    <t>SECCIÓN 6 - MARCADO</t>
  </si>
  <si>
    <t>6. Marcado</t>
  </si>
  <si>
    <t>SECCIÓN 6</t>
  </si>
  <si>
    <t>Revisa el check de NO prensa</t>
  </si>
  <si>
    <t>SECCIÓN 16</t>
  </si>
  <si>
    <t>SECCIÓN 17</t>
  </si>
  <si>
    <t>Iniciar numeración en:</t>
  </si>
  <si>
    <t>COMENTARIOS Y OBSERVACIONES DE LAS MUESTRAS</t>
  </si>
  <si>
    <t>COMENTARIOS Y NOTAS GENERALES DEL PROYECTO</t>
  </si>
  <si>
    <t>NÚM AUTO:</t>
  </si>
  <si>
    <t>NNNNNAAAA</t>
  </si>
  <si>
    <t>NÚM PERSON:</t>
  </si>
  <si>
    <t>(Máx. 8)</t>
  </si>
  <si>
    <t>PROYECTO:</t>
  </si>
  <si>
    <t>62031 (built-in)</t>
  </si>
  <si>
    <t>EN 62031:2020 + A11:2021;</t>
  </si>
  <si>
    <t>EN 62262:2002 + A1:2021 + IEC TR 62696:2011</t>
  </si>
  <si>
    <t xml:space="preserve">IEC 62262:2002+AMD1:2021 + IEC TR 62696:2011; </t>
  </si>
  <si>
    <t>SIN CUBIERTA</t>
  </si>
  <si>
    <t>CON CUBIERTA</t>
  </si>
  <si>
    <t>Ver tempertura y humedad de ensayo en registro del servidor</t>
  </si>
  <si>
    <t>Arco de lluvia + Caudalímetro</t>
  </si>
  <si>
    <t>Punzón acero y goma
Prensa hidráulica</t>
  </si>
  <si>
    <t>Multimetro UNI-T</t>
  </si>
  <si>
    <t>Varilla 50mm diámetro
Esfera 50mm diámetro</t>
  </si>
  <si>
    <t xml:space="preserve">EN 60598-2-18:1994+A1:2012 ó IEC EN 60598-2-18:2022 (ver TRF); </t>
  </si>
  <si>
    <t xml:space="preserve">IEC 60598-2-18:1993+AMD1:2011 ó IEC 60598-2-1+:2022 (ver TRF); </t>
  </si>
  <si>
    <t xml:space="preserve">IEC 60598-2-2:2011/IEC60598-2-2:2023; </t>
  </si>
  <si>
    <t xml:space="preserve">EN 60598-2-2:2012/EN IEC 60598-2-2:2024; </t>
  </si>
  <si>
    <t>Esta segunda casilla se marca si exite valor de diámetro</t>
  </si>
  <si>
    <t>Espesor:</t>
  </si>
  <si>
    <t>Ancho:</t>
  </si>
  <si>
    <t>Largo:</t>
  </si>
  <si>
    <t>Tamaño de la muestra (mm)</t>
  </si>
  <si>
    <t>DIMENSIONES MUESTRA</t>
  </si>
  <si>
    <t>Revisa que hay dimensiones de las muestras</t>
  </si>
  <si>
    <t>Valor (mm):</t>
  </si>
  <si>
    <t>Origen de la muestra:</t>
  </si>
  <si>
    <t>Corte de una parte del EBP</t>
  </si>
  <si>
    <t>Muestra separada suministrada por el fabricante</t>
  </si>
  <si>
    <t>Producto acabado completo</t>
  </si>
  <si>
    <t>Acondicionamiento:</t>
  </si>
  <si>
    <t>Procedimiento de ensayo:</t>
  </si>
  <si>
    <t>Dimensiones de la muestra y prepación del horno</t>
  </si>
  <si>
    <t>Largo (mm)</t>
  </si>
  <si>
    <t>Ancho (mm)</t>
  </si>
  <si>
    <t>Nº de capas</t>
  </si>
  <si>
    <t>DIMENS. MUESTRA</t>
  </si>
  <si>
    <t>apilar varias capas de material. -----------------&gt;</t>
  </si>
  <si>
    <t>Inicio Acond.: (hh:mm)</t>
  </si>
  <si>
    <t>Fin Acond: (hh:mm)</t>
  </si>
  <si>
    <r>
      <t>Espesor</t>
    </r>
    <r>
      <rPr>
        <b/>
        <vertAlign val="superscript"/>
        <sz val="10"/>
        <color theme="1"/>
        <rFont val="Calibri"/>
        <family val="2"/>
        <scheme val="minor"/>
      </rPr>
      <t>1</t>
    </r>
    <r>
      <rPr>
        <b/>
        <sz val="10"/>
        <color theme="1"/>
        <rFont val="Calibri"/>
        <family val="2"/>
        <scheme val="minor"/>
      </rPr>
      <t xml:space="preserve"> (mm)</t>
    </r>
  </si>
  <si>
    <r>
      <t>El espesor</t>
    </r>
    <r>
      <rPr>
        <vertAlign val="superscript"/>
        <sz val="11"/>
        <rFont val="Calibri"/>
        <family val="2"/>
        <scheme val="minor"/>
      </rPr>
      <t>1</t>
    </r>
    <r>
      <rPr>
        <sz val="11"/>
        <rFont val="Calibri"/>
        <family val="2"/>
        <scheme val="minor"/>
      </rPr>
      <t xml:space="preserve"> de una sola capa es inferior a 2,5mm y se requiere</t>
    </r>
  </si>
  <si>
    <r>
      <t>Temperatura Termopar</t>
    </r>
    <r>
      <rPr>
        <b/>
        <vertAlign val="superscript"/>
        <sz val="11"/>
        <color theme="1"/>
        <rFont val="Calibri"/>
        <family val="2"/>
        <scheme val="minor"/>
      </rPr>
      <t>2</t>
    </r>
    <r>
      <rPr>
        <b/>
        <sz val="11"/>
        <color theme="1"/>
        <rFont val="Calibri"/>
        <family val="2"/>
        <scheme val="minor"/>
      </rPr>
      <t xml:space="preserve"> (ºC)</t>
    </r>
  </si>
  <si>
    <t>Tras cerrar la puerta del horno se recupera la temperatura</t>
  </si>
  <si>
    <t>medida en el termopar en un tiempo inferior o igual a 5 minutos</t>
  </si>
  <si>
    <t>Inicio Ensayo: (hh:mm)</t>
  </si>
  <si>
    <t>HORNO Y ENSAYO</t>
  </si>
  <si>
    <t>Fin Ensayo: (hh:mm)</t>
  </si>
  <si>
    <t>La muestra se coloca dentro del horno en un tiempo inferior a 30s</t>
  </si>
  <si>
    <r>
      <rPr>
        <vertAlign val="superscript"/>
        <sz val="11"/>
        <rFont val="Calibri"/>
        <family val="2"/>
        <scheme val="minor"/>
      </rPr>
      <t>1</t>
    </r>
    <r>
      <rPr>
        <sz val="11"/>
        <rFont val="Calibri"/>
        <family val="2"/>
        <scheme val="minor"/>
      </rPr>
      <t xml:space="preserve"> El </t>
    </r>
    <r>
      <rPr>
        <b/>
        <sz val="11"/>
        <rFont val="Calibri"/>
        <family val="2"/>
        <scheme val="minor"/>
      </rPr>
      <t>espesor</t>
    </r>
    <r>
      <rPr>
        <sz val="11"/>
        <rFont val="Calibri"/>
        <family val="2"/>
        <scheme val="minor"/>
      </rPr>
      <t xml:space="preserve"> debe ser de al menos </t>
    </r>
    <r>
      <rPr>
        <b/>
        <sz val="11"/>
        <rFont val="Calibri"/>
        <family val="2"/>
        <scheme val="minor"/>
      </rPr>
      <t>2,5mm</t>
    </r>
    <r>
      <rPr>
        <sz val="11"/>
        <rFont val="Calibri"/>
        <family val="2"/>
        <scheme val="minor"/>
      </rPr>
      <t xml:space="preserve">, para alcanzar este espesor pueden apilarse varias muestras de material. Las dimensiones de </t>
    </r>
    <r>
      <rPr>
        <b/>
        <sz val="11"/>
        <rFont val="Calibri"/>
        <family val="2"/>
        <scheme val="minor"/>
      </rPr>
      <t>largo y ancho</t>
    </r>
    <r>
      <rPr>
        <sz val="11"/>
        <rFont val="Calibri"/>
        <family val="2"/>
        <scheme val="minor"/>
      </rPr>
      <t xml:space="preserve"> deben ser de al menos </t>
    </r>
    <r>
      <rPr>
        <b/>
        <sz val="11"/>
        <rFont val="Calibri"/>
        <family val="2"/>
        <scheme val="minor"/>
      </rPr>
      <t>10mm</t>
    </r>
    <r>
      <rPr>
        <sz val="11"/>
        <rFont val="Calibri"/>
        <family val="2"/>
        <scheme val="minor"/>
      </rPr>
      <t>.</t>
    </r>
  </si>
  <si>
    <r>
      <rPr>
        <vertAlign val="superscript"/>
        <sz val="11"/>
        <rFont val="Calibri"/>
        <family val="2"/>
        <scheme val="minor"/>
      </rPr>
      <t>2</t>
    </r>
    <r>
      <rPr>
        <sz val="11"/>
        <rFont val="Calibri"/>
        <family val="2"/>
        <scheme val="minor"/>
      </rPr>
      <t xml:space="preserve"> El termopar de verificación se sitúa a un máximo de 50mm de la muestra de ensayo. La </t>
    </r>
    <r>
      <rPr>
        <b/>
        <sz val="11"/>
        <rFont val="Calibri"/>
        <family val="2"/>
        <scheme val="minor"/>
      </rPr>
      <t>tolerancia entre la temperatura</t>
    </r>
    <r>
      <rPr>
        <sz val="11"/>
        <rFont val="Calibri"/>
        <family val="2"/>
        <scheme val="minor"/>
      </rPr>
      <t xml:space="preserve"> medida y la consigna es de </t>
    </r>
    <r>
      <rPr>
        <b/>
        <sz val="11"/>
        <rFont val="Calibri"/>
        <family val="2"/>
        <scheme val="minor"/>
      </rPr>
      <t>±2ºC</t>
    </r>
    <r>
      <rPr>
        <sz val="11"/>
        <rFont val="Calibri"/>
        <family val="2"/>
        <scheme val="minor"/>
      </rPr>
      <t>.</t>
    </r>
  </si>
  <si>
    <t>el temopar)</t>
  </si>
  <si>
    <t>Retirada de la muestra del horno:</t>
  </si>
  <si>
    <t>Tras sacar la muestra del horno se sumerge en agua.</t>
  </si>
  <si>
    <t>(El agua se encuentra a temperatua ambiente, cumpliendo</t>
  </si>
  <si>
    <t>La muestra se sumerge en agua un tiempo entre 4 y 8 minutos,</t>
  </si>
  <si>
    <t>el requisito de 20ºC ± 5ºC. Esta condición se verifica sumergiendo</t>
  </si>
  <si>
    <t>Temperatura del agua (ºC)</t>
  </si>
  <si>
    <t>Tiempo  en agua (min):</t>
  </si>
  <si>
    <t>AGUA</t>
  </si>
  <si>
    <t>Los datos de resultados pueden tomarse directamente sobre el TRF. 
Si el material de todas las muestras es idéntico puede rellenase sólo el de la pirmera.</t>
  </si>
  <si>
    <t>TAMAÑO DE LA HUELLA (mm)</t>
  </si>
  <si>
    <t>El resultado puede anotarse directamente en el TRF en word.</t>
  </si>
  <si>
    <t>BOLA CONTINÚA ABAJO</t>
  </si>
  <si>
    <r>
      <rPr>
        <b/>
        <sz val="11"/>
        <color theme="1"/>
        <rFont val="Calibri"/>
        <family val="2"/>
        <scheme val="minor"/>
      </rPr>
      <t>Origen</t>
    </r>
    <r>
      <rPr>
        <sz val="11"/>
        <color theme="1"/>
        <rFont val="Calibri"/>
        <family val="2"/>
        <scheme val="minor"/>
      </rPr>
      <t xml:space="preserve"> de la muestra (verificamos si se ha marcado un origen y sólo uno)</t>
    </r>
  </si>
  <si>
    <r>
      <t xml:space="preserve">Verifica que se ha hecho el </t>
    </r>
    <r>
      <rPr>
        <b/>
        <sz val="11"/>
        <color theme="1"/>
        <rFont val="Calibri"/>
        <family val="2"/>
        <scheme val="minor"/>
      </rPr>
      <t>acondicionamiento de la muestra</t>
    </r>
  </si>
  <si>
    <r>
      <t>Verifica si se requiere</t>
    </r>
    <r>
      <rPr>
        <b/>
        <sz val="11"/>
        <color theme="1"/>
        <rFont val="Calibri"/>
        <family val="2"/>
        <scheme val="minor"/>
      </rPr>
      <t xml:space="preserve"> más de una capa de material</t>
    </r>
  </si>
  <si>
    <r>
      <t xml:space="preserve">Verifica si, en caso de requerirse más de una capa se ha indicado el </t>
    </r>
    <r>
      <rPr>
        <b/>
        <sz val="11"/>
        <color theme="1"/>
        <rFont val="Calibri"/>
        <family val="2"/>
        <scheme val="minor"/>
      </rPr>
      <t>número de capas</t>
    </r>
  </si>
  <si>
    <t>VERIFICACIÓN DE DIMENSIONES DE MUESTRA</t>
  </si>
  <si>
    <t>ENSAYO DE BOLA</t>
  </si>
  <si>
    <r>
      <t xml:space="preserve">Verifica que el </t>
    </r>
    <r>
      <rPr>
        <b/>
        <sz val="11"/>
        <color theme="1"/>
        <rFont val="Calibri"/>
        <family val="2"/>
        <scheme val="minor"/>
      </rPr>
      <t>espesor</t>
    </r>
    <r>
      <rPr>
        <sz val="11"/>
        <color theme="1"/>
        <rFont val="Calibri"/>
        <family val="2"/>
        <scheme val="minor"/>
      </rPr>
      <t xml:space="preserve"> sea mayor a </t>
    </r>
    <r>
      <rPr>
        <b/>
        <sz val="11"/>
        <color theme="1"/>
        <rFont val="Calibri"/>
        <family val="2"/>
        <scheme val="minor"/>
      </rPr>
      <t>2,5mm</t>
    </r>
  </si>
  <si>
    <r>
      <t xml:space="preserve">Verifica que el </t>
    </r>
    <r>
      <rPr>
        <b/>
        <sz val="11"/>
        <color theme="1"/>
        <rFont val="Calibri"/>
        <family val="2"/>
        <scheme val="minor"/>
      </rPr>
      <t>ancho</t>
    </r>
    <r>
      <rPr>
        <sz val="11"/>
        <color theme="1"/>
        <rFont val="Calibri"/>
        <family val="2"/>
        <scheme val="minor"/>
      </rPr>
      <t xml:space="preserve"> sea mayor a </t>
    </r>
    <r>
      <rPr>
        <b/>
        <sz val="11"/>
        <color theme="1"/>
        <rFont val="Calibri"/>
        <family val="2"/>
        <scheme val="minor"/>
      </rPr>
      <t>10mm</t>
    </r>
  </si>
  <si>
    <r>
      <t xml:space="preserve">Verifica que el </t>
    </r>
    <r>
      <rPr>
        <b/>
        <sz val="11"/>
        <color theme="1"/>
        <rFont val="Calibri"/>
        <family val="2"/>
        <scheme val="minor"/>
      </rPr>
      <t>largo</t>
    </r>
    <r>
      <rPr>
        <sz val="11"/>
        <color theme="1"/>
        <rFont val="Calibri"/>
        <family val="2"/>
        <scheme val="minor"/>
      </rPr>
      <t xml:space="preserve"> sea mayor a </t>
    </r>
    <r>
      <rPr>
        <b/>
        <sz val="11"/>
        <color theme="1"/>
        <rFont val="Calibri"/>
        <family val="2"/>
        <scheme val="minor"/>
      </rPr>
      <t>10mm</t>
    </r>
  </si>
  <si>
    <r>
      <rPr>
        <b/>
        <sz val="11"/>
        <color theme="1"/>
        <rFont val="Calibri"/>
        <family val="2"/>
        <scheme val="minor"/>
      </rPr>
      <t>Comprueba</t>
    </r>
    <r>
      <rPr>
        <sz val="11"/>
        <color theme="1"/>
        <rFont val="Calibri"/>
        <family val="2"/>
        <scheme val="minor"/>
      </rPr>
      <t xml:space="preserve"> en conjunto </t>
    </r>
    <r>
      <rPr>
        <b/>
        <sz val="11"/>
        <color theme="1"/>
        <rFont val="Calibri"/>
        <family val="2"/>
        <scheme val="minor"/>
      </rPr>
      <t>las tres condiciones</t>
    </r>
    <r>
      <rPr>
        <sz val="11"/>
        <color theme="1"/>
        <rFont val="Calibri"/>
        <family val="2"/>
        <scheme val="minor"/>
      </rPr>
      <t xml:space="preserve"> anteriores</t>
    </r>
  </si>
  <si>
    <t>VERIFICACIÓN DE TIEMPOS DE ENSAYO</t>
  </si>
  <si>
    <t>(minuto inicial)</t>
  </si>
  <si>
    <t>(minuto final)</t>
  </si>
  <si>
    <r>
      <rPr>
        <b/>
        <sz val="11"/>
        <color theme="1"/>
        <rFont val="Calibri"/>
        <family val="2"/>
        <scheme val="minor"/>
      </rPr>
      <t>Verifica</t>
    </r>
    <r>
      <rPr>
        <sz val="11"/>
        <color theme="1"/>
        <rFont val="Calibri"/>
        <family val="2"/>
        <scheme val="minor"/>
      </rPr>
      <t xml:space="preserve"> si hay hora de</t>
    </r>
    <r>
      <rPr>
        <b/>
        <sz val="11"/>
        <color theme="1"/>
        <rFont val="Calibri"/>
        <family val="2"/>
        <scheme val="minor"/>
      </rPr>
      <t xml:space="preserve"> inicio de acondicionamiento</t>
    </r>
  </si>
  <si>
    <r>
      <rPr>
        <b/>
        <sz val="11"/>
        <color theme="1"/>
        <rFont val="Calibri"/>
        <family val="2"/>
        <scheme val="minor"/>
      </rPr>
      <t>Verifica</t>
    </r>
    <r>
      <rPr>
        <sz val="11"/>
        <color theme="1"/>
        <rFont val="Calibri"/>
        <family val="2"/>
        <scheme val="minor"/>
      </rPr>
      <t xml:space="preserve"> si hay hora de </t>
    </r>
    <r>
      <rPr>
        <b/>
        <sz val="11"/>
        <color theme="1"/>
        <rFont val="Calibri"/>
        <family val="2"/>
        <scheme val="minor"/>
      </rPr>
      <t>fin de acondicionamiento</t>
    </r>
  </si>
  <si>
    <r>
      <rPr>
        <b/>
        <sz val="11"/>
        <color theme="1"/>
        <rFont val="Calibri"/>
        <family val="2"/>
        <scheme val="minor"/>
      </rPr>
      <t xml:space="preserve">Verifica </t>
    </r>
    <r>
      <rPr>
        <sz val="11"/>
        <color theme="1"/>
        <rFont val="Calibri"/>
        <family val="2"/>
        <scheme val="minor"/>
      </rPr>
      <t xml:space="preserve">si el acondicionamiento es </t>
    </r>
    <r>
      <rPr>
        <b/>
        <sz val="11"/>
        <color theme="1"/>
        <rFont val="Calibri"/>
        <family val="2"/>
        <scheme val="minor"/>
      </rPr>
      <t>superior a 3h</t>
    </r>
  </si>
  <si>
    <r>
      <rPr>
        <b/>
        <sz val="11"/>
        <color theme="1"/>
        <rFont val="Calibri"/>
        <family val="2"/>
        <scheme val="minor"/>
      </rPr>
      <t>Verifica</t>
    </r>
    <r>
      <rPr>
        <sz val="11"/>
        <color theme="1"/>
        <rFont val="Calibri"/>
        <family val="2"/>
        <scheme val="minor"/>
      </rPr>
      <t xml:space="preserve"> si hay hora de </t>
    </r>
    <r>
      <rPr>
        <b/>
        <sz val="11"/>
        <color theme="1"/>
        <rFont val="Calibri"/>
        <family val="2"/>
        <scheme val="minor"/>
      </rPr>
      <t>inicio de ensayo</t>
    </r>
  </si>
  <si>
    <r>
      <rPr>
        <b/>
        <sz val="11"/>
        <color theme="1"/>
        <rFont val="Calibri"/>
        <family val="2"/>
        <scheme val="minor"/>
      </rPr>
      <t>Verifica</t>
    </r>
    <r>
      <rPr>
        <sz val="11"/>
        <color theme="1"/>
        <rFont val="Calibri"/>
        <family val="2"/>
        <scheme val="minor"/>
      </rPr>
      <t xml:space="preserve"> si hay hora de </t>
    </r>
    <r>
      <rPr>
        <b/>
        <sz val="11"/>
        <color theme="1"/>
        <rFont val="Calibri"/>
        <family val="2"/>
        <scheme val="minor"/>
      </rPr>
      <t>fin de ensayo</t>
    </r>
  </si>
  <si>
    <r>
      <rPr>
        <b/>
        <sz val="11"/>
        <color theme="1"/>
        <rFont val="Calibri"/>
        <family val="2"/>
        <scheme val="minor"/>
      </rPr>
      <t>Verifica</t>
    </r>
    <r>
      <rPr>
        <sz val="11"/>
        <color theme="1"/>
        <rFont val="Calibri"/>
        <family val="2"/>
        <scheme val="minor"/>
      </rPr>
      <t xml:space="preserve"> si el tiempo de </t>
    </r>
    <r>
      <rPr>
        <b/>
        <sz val="11"/>
        <color theme="1"/>
        <rFont val="Calibri"/>
        <family val="2"/>
        <scheme val="minor"/>
      </rPr>
      <t>ensayo es de 60 minutos +- 2 mutos</t>
    </r>
  </si>
  <si>
    <r>
      <rPr>
        <b/>
        <sz val="11"/>
        <color theme="1"/>
        <rFont val="Calibri"/>
        <family val="2"/>
        <scheme val="minor"/>
      </rPr>
      <t>Verifica</t>
    </r>
    <r>
      <rPr>
        <sz val="11"/>
        <color theme="1"/>
        <rFont val="Calibri"/>
        <family val="2"/>
        <scheme val="minor"/>
      </rPr>
      <t xml:space="preserve"> si se ha puesto una </t>
    </r>
    <r>
      <rPr>
        <b/>
        <sz val="11"/>
        <color theme="1"/>
        <rFont val="Calibri"/>
        <family val="2"/>
        <scheme val="minor"/>
      </rPr>
      <t>temperatura de ensayo</t>
    </r>
  </si>
  <si>
    <r>
      <rPr>
        <b/>
        <sz val="11"/>
        <color theme="1"/>
        <rFont val="Calibri"/>
        <family val="2"/>
        <scheme val="minor"/>
      </rPr>
      <t>Verificación global</t>
    </r>
    <r>
      <rPr>
        <sz val="11"/>
        <color theme="1"/>
        <rFont val="Calibri"/>
        <family val="2"/>
        <scheme val="minor"/>
      </rPr>
      <t xml:space="preserve"> de esta </t>
    </r>
    <r>
      <rPr>
        <b/>
        <sz val="11"/>
        <color theme="1"/>
        <rFont val="Calibri"/>
        <family val="2"/>
        <scheme val="minor"/>
      </rPr>
      <t>tabla</t>
    </r>
    <r>
      <rPr>
        <sz val="11"/>
        <color theme="1"/>
        <rFont val="Calibri"/>
        <family val="2"/>
        <scheme val="minor"/>
      </rPr>
      <t xml:space="preserve"> de tiempos y temperatura de ensayo</t>
    </r>
  </si>
  <si>
    <t>VERIFICACIÓN DE PASOS TRAS EL HORNO</t>
  </si>
  <si>
    <r>
      <rPr>
        <b/>
        <sz val="11"/>
        <color theme="1"/>
        <rFont val="Calibri"/>
        <family val="2"/>
        <scheme val="minor"/>
      </rPr>
      <t>Verifica</t>
    </r>
    <r>
      <rPr>
        <sz val="11"/>
        <color theme="1"/>
        <rFont val="Calibri"/>
        <family val="2"/>
        <scheme val="minor"/>
      </rPr>
      <t xml:space="preserve"> el procedimiento de ensayo y sacar la muestra del horno (</t>
    </r>
    <r>
      <rPr>
        <b/>
        <sz val="11"/>
        <color theme="1"/>
        <rFont val="Calibri"/>
        <family val="2"/>
        <scheme val="minor"/>
      </rPr>
      <t>checklists</t>
    </r>
    <r>
      <rPr>
        <sz val="11"/>
        <color theme="1"/>
        <rFont val="Calibri"/>
        <family val="2"/>
        <scheme val="minor"/>
      </rPr>
      <t>)</t>
    </r>
  </si>
  <si>
    <t>VERIFICACIÓN AGUA</t>
  </si>
  <si>
    <r>
      <rPr>
        <b/>
        <sz val="11"/>
        <color theme="1"/>
        <rFont val="Calibri"/>
        <family val="2"/>
        <scheme val="minor"/>
      </rPr>
      <t>Verifica</t>
    </r>
    <r>
      <rPr>
        <sz val="11"/>
        <color theme="1"/>
        <rFont val="Calibri"/>
        <family val="2"/>
        <scheme val="minor"/>
      </rPr>
      <t xml:space="preserve"> que la t</t>
    </r>
    <r>
      <rPr>
        <b/>
        <sz val="11"/>
        <color theme="1"/>
        <rFont val="Calibri"/>
        <family val="2"/>
        <scheme val="minor"/>
      </rPr>
      <t>emperatura de agua</t>
    </r>
    <r>
      <rPr>
        <sz val="11"/>
        <color theme="1"/>
        <rFont val="Calibri"/>
        <family val="2"/>
        <scheme val="minor"/>
      </rPr>
      <t xml:space="preserve"> es correcta</t>
    </r>
  </si>
  <si>
    <r>
      <rPr>
        <b/>
        <sz val="11"/>
        <color theme="1"/>
        <rFont val="Calibri"/>
        <family val="2"/>
        <scheme val="minor"/>
      </rPr>
      <t>Verifica</t>
    </r>
    <r>
      <rPr>
        <sz val="11"/>
        <color theme="1"/>
        <rFont val="Calibri"/>
        <family val="2"/>
        <scheme val="minor"/>
      </rPr>
      <t xml:space="preserve"> que el </t>
    </r>
    <r>
      <rPr>
        <b/>
        <sz val="11"/>
        <color theme="1"/>
        <rFont val="Calibri"/>
        <family val="2"/>
        <scheme val="minor"/>
      </rPr>
      <t>tiempo en el agua</t>
    </r>
    <r>
      <rPr>
        <sz val="11"/>
        <color theme="1"/>
        <rFont val="Calibri"/>
        <family val="2"/>
        <scheme val="minor"/>
      </rPr>
      <t xml:space="preserve"> es correcto</t>
    </r>
  </si>
  <si>
    <r>
      <rPr>
        <b/>
        <sz val="11"/>
        <color theme="1"/>
        <rFont val="Calibri"/>
        <family val="2"/>
        <scheme val="minor"/>
      </rPr>
      <t>Verificación global</t>
    </r>
    <r>
      <rPr>
        <sz val="11"/>
        <color theme="1"/>
        <rFont val="Calibri"/>
        <family val="2"/>
        <scheme val="minor"/>
      </rPr>
      <t xml:space="preserve"> del paso del </t>
    </r>
    <r>
      <rPr>
        <b/>
        <sz val="11"/>
        <color theme="1"/>
        <rFont val="Calibri"/>
        <family val="2"/>
        <scheme val="minor"/>
      </rPr>
      <t>agua</t>
    </r>
  </si>
  <si>
    <t>VERIFICACIÓN DE TODOS LOS DATOS</t>
  </si>
  <si>
    <t>VERIFICAMOS QUE ESTÉN TODOS LOS DATOS CLAVE</t>
  </si>
  <si>
    <t>Se verifica que la muestra estaba 24h</t>
  </si>
  <si>
    <t xml:space="preserve"> habituales entre 15ºC-35ºC )</t>
  </si>
  <si>
    <t xml:space="preserve"> en el laboratorio (con condiciones</t>
  </si>
  <si>
    <t>Dia fin:</t>
  </si>
  <si>
    <t>Día Inicio:</t>
  </si>
  <si>
    <t>ACONDI-
CIONA-
MIENTO</t>
  </si>
  <si>
    <r>
      <t xml:space="preserve">Hora fin </t>
    </r>
    <r>
      <rPr>
        <b/>
        <sz val="9"/>
        <color theme="1"/>
        <rFont val="Calibri"/>
        <family val="2"/>
        <scheme val="minor"/>
      </rPr>
      <t>(hh:mm</t>
    </r>
    <r>
      <rPr>
        <b/>
        <sz val="11"/>
        <color theme="1"/>
        <rFont val="Calibri"/>
        <family val="2"/>
        <scheme val="minor"/>
      </rPr>
      <t>):</t>
    </r>
  </si>
  <si>
    <r>
      <t xml:space="preserve">Hora Inicio </t>
    </r>
    <r>
      <rPr>
        <b/>
        <sz val="9"/>
        <color theme="1"/>
        <rFont val="Calibri"/>
        <family val="2"/>
        <scheme val="minor"/>
      </rPr>
      <t>(hh:mm)</t>
    </r>
    <r>
      <rPr>
        <b/>
        <sz val="11"/>
        <color theme="1"/>
        <rFont val="Calibri"/>
        <family val="2"/>
        <scheme val="minor"/>
      </rPr>
      <t>:</t>
    </r>
  </si>
  <si>
    <t>VERIFICACIÓN ACONDICIONAMIENTO MUESTRA 24H</t>
  </si>
  <si>
    <r>
      <rPr>
        <b/>
        <sz val="11"/>
        <color theme="1"/>
        <rFont val="Calibri"/>
        <family val="2"/>
        <scheme val="minor"/>
      </rPr>
      <t>Verifica</t>
    </r>
    <r>
      <rPr>
        <sz val="11"/>
        <color theme="1"/>
        <rFont val="Calibri"/>
        <family val="2"/>
        <scheme val="minor"/>
      </rPr>
      <t xml:space="preserve"> que hay </t>
    </r>
    <r>
      <rPr>
        <b/>
        <sz val="11"/>
        <color theme="1"/>
        <rFont val="Calibri"/>
        <family val="2"/>
        <scheme val="minor"/>
      </rPr>
      <t>al menos un día</t>
    </r>
    <r>
      <rPr>
        <sz val="11"/>
        <color theme="1"/>
        <rFont val="Calibri"/>
        <family val="2"/>
        <scheme val="minor"/>
      </rPr>
      <t xml:space="preserve"> entre inicio y fin (en fecha)</t>
    </r>
  </si>
  <si>
    <r>
      <rPr>
        <b/>
        <sz val="11"/>
        <color theme="1"/>
        <rFont val="Calibri"/>
        <family val="2"/>
        <scheme val="minor"/>
      </rPr>
      <t>Verifica</t>
    </r>
    <r>
      <rPr>
        <sz val="11"/>
        <color theme="1"/>
        <rFont val="Calibri"/>
        <family val="2"/>
        <scheme val="minor"/>
      </rPr>
      <t xml:space="preserve"> si la</t>
    </r>
    <r>
      <rPr>
        <b/>
        <sz val="11"/>
        <color theme="1"/>
        <rFont val="Calibri"/>
        <family val="2"/>
        <scheme val="minor"/>
      </rPr>
      <t xml:space="preserve"> hora</t>
    </r>
    <r>
      <rPr>
        <sz val="11"/>
        <color theme="1"/>
        <rFont val="Calibri"/>
        <family val="2"/>
        <scheme val="minor"/>
      </rPr>
      <t xml:space="preserve"> de finalización es posterior a la de inicio</t>
    </r>
  </si>
  <si>
    <r>
      <rPr>
        <b/>
        <sz val="11"/>
        <color theme="1"/>
        <rFont val="Calibri"/>
        <family val="2"/>
        <scheme val="minor"/>
      </rPr>
      <t>Verifica</t>
    </r>
    <r>
      <rPr>
        <sz val="11"/>
        <color theme="1"/>
        <rFont val="Calibri"/>
        <family val="2"/>
        <scheme val="minor"/>
      </rPr>
      <t xml:space="preserve"> si hay </t>
    </r>
    <r>
      <rPr>
        <b/>
        <sz val="11"/>
        <color theme="1"/>
        <rFont val="Calibri"/>
        <family val="2"/>
        <scheme val="minor"/>
      </rPr>
      <t>más de 24</t>
    </r>
    <r>
      <rPr>
        <sz val="11"/>
        <color theme="1"/>
        <rFont val="Calibri"/>
        <family val="2"/>
        <scheme val="minor"/>
      </rPr>
      <t xml:space="preserve"> horas de diferencia</t>
    </r>
  </si>
  <si>
    <r>
      <t>Hora Inicio</t>
    </r>
    <r>
      <rPr>
        <b/>
        <sz val="9"/>
        <color theme="1"/>
        <rFont val="Calibri"/>
        <family val="2"/>
        <scheme val="minor"/>
      </rPr>
      <t xml:space="preserve"> (hh:mm):</t>
    </r>
  </si>
  <si>
    <r>
      <t>Hora fin</t>
    </r>
    <r>
      <rPr>
        <b/>
        <sz val="9"/>
        <color theme="1"/>
        <rFont val="Calibri"/>
        <family val="2"/>
        <scheme val="minor"/>
      </rPr>
      <t xml:space="preserve"> (hh:mm):</t>
    </r>
  </si>
  <si>
    <t>ENSAYO DE HILO (PARTE DE ACONDICIONAMIENTO)</t>
  </si>
  <si>
    <t>El valor viene de la VERIFICACIÓN DE 24 HORAS QUE HAY MÁS ABAJO</t>
  </si>
  <si>
    <r>
      <t xml:space="preserve">Hora Inicio </t>
    </r>
    <r>
      <rPr>
        <b/>
        <sz val="9"/>
        <rFont val="Calibri Light"/>
        <family val="2"/>
        <scheme val="major"/>
      </rPr>
      <t>(hh:mm):</t>
    </r>
  </si>
  <si>
    <r>
      <t>Hora fin</t>
    </r>
    <r>
      <rPr>
        <b/>
        <sz val="9"/>
        <rFont val="Calibri Light"/>
        <family val="2"/>
        <scheme val="major"/>
      </rPr>
      <t xml:space="preserve"> (hh:mm):</t>
    </r>
  </si>
  <si>
    <t>Tiempo de aplicación de ensayo: 10s</t>
  </si>
  <si>
    <t>Muestra  cortada del EBP</t>
  </si>
  <si>
    <t>Ensayo realizado sobre una única muestra</t>
  </si>
  <si>
    <t>PRESCRIPCIONES ESPECÍFICAS DE LA NORMA EN/IEC 60598-1:</t>
  </si>
  <si>
    <t>DISPOSICIÓN DE LA MUESRA DE ENSAYO:</t>
  </si>
  <si>
    <t>Duración combusión (tb) (s)</t>
  </si>
  <si>
    <t>CRITERIO DE ACEPTACIÓN:</t>
  </si>
  <si>
    <t>- Las llamas o incandescencias de la probeta y de las partes circundantes se exinguen en menos de 30s tras retirar la llama de aguja. No ha habido inflamación de la capa de papel.</t>
  </si>
  <si>
    <t>- No hay inflamación de la capa de pepel y tras la retirada de la llama de aguja no hay llamas ni incandescencia en la probeta de esayo, o</t>
  </si>
  <si>
    <t>ENSAYO DE LLAMA DE AGUJA</t>
  </si>
  <si>
    <t>ó NO COMBUSIÓN</t>
  </si>
  <si>
    <t>El resto de los datos de resultados pueden tomarse directamente sobre el TRF.
Si el material de todas las muestras es el mismo puede rellenarse sólo la primera</t>
  </si>
  <si>
    <t>Verifica si hay tiempo de combustión</t>
  </si>
  <si>
    <t>Verifica si hay "no combustión"</t>
  </si>
  <si>
    <t>Revisa si la selección anterior es correcta (si hay tiempo es xq hay combustión)</t>
  </si>
  <si>
    <t>Verifica si se ha marcado la posición de la llama (y sólo una opción)</t>
  </si>
  <si>
    <t>ENSAYO HUMEDAD</t>
  </si>
  <si>
    <t>Temperatura programada:</t>
  </si>
  <si>
    <t>25ºC</t>
  </si>
  <si>
    <t xml:space="preserve">Humedad Programada: </t>
  </si>
  <si>
    <t>VERIFICACIÓN ACONDICIONAMIENTO MUESTRA 48H</t>
  </si>
  <si>
    <r>
      <rPr>
        <b/>
        <sz val="11"/>
        <color theme="1"/>
        <rFont val="Calibri"/>
        <family val="2"/>
        <scheme val="minor"/>
      </rPr>
      <t>Verifica</t>
    </r>
    <r>
      <rPr>
        <sz val="11"/>
        <color theme="1"/>
        <rFont val="Calibri"/>
        <family val="2"/>
        <scheme val="minor"/>
      </rPr>
      <t xml:space="preserve"> que hay </t>
    </r>
    <r>
      <rPr>
        <b/>
        <sz val="11"/>
        <color theme="1"/>
        <rFont val="Calibri"/>
        <family val="2"/>
        <scheme val="minor"/>
      </rPr>
      <t>al menos dos días</t>
    </r>
    <r>
      <rPr>
        <sz val="11"/>
        <color theme="1"/>
        <rFont val="Calibri"/>
        <family val="2"/>
        <scheme val="minor"/>
      </rPr>
      <t xml:space="preserve"> entre inicio y fin (en fecha)</t>
    </r>
  </si>
  <si>
    <r>
      <rPr>
        <b/>
        <sz val="11"/>
        <color theme="1"/>
        <rFont val="Calibri"/>
        <family val="2"/>
        <scheme val="minor"/>
      </rPr>
      <t>Verifica</t>
    </r>
    <r>
      <rPr>
        <sz val="11"/>
        <color theme="1"/>
        <rFont val="Calibri"/>
        <family val="2"/>
        <scheme val="minor"/>
      </rPr>
      <t xml:space="preserve"> si hay </t>
    </r>
    <r>
      <rPr>
        <b/>
        <sz val="11"/>
        <color theme="1"/>
        <rFont val="Calibri"/>
        <family val="2"/>
        <scheme val="minor"/>
      </rPr>
      <t>más de 48</t>
    </r>
    <r>
      <rPr>
        <sz val="11"/>
        <color theme="1"/>
        <rFont val="Calibri"/>
        <family val="2"/>
        <scheme val="minor"/>
      </rPr>
      <t xml:space="preserve"> horas de diferencia</t>
    </r>
  </si>
  <si>
    <t>VERIFICACIÓN EN ESTUFA 240H (10 DÍAS)</t>
  </si>
  <si>
    <r>
      <t xml:space="preserve">Hora Inicio </t>
    </r>
    <r>
      <rPr>
        <b/>
        <sz val="9"/>
        <rFont val="Calibri"/>
        <family val="2"/>
        <scheme val="minor"/>
      </rPr>
      <t>(hh:mm)</t>
    </r>
    <r>
      <rPr>
        <b/>
        <sz val="11"/>
        <rFont val="Calibri"/>
        <family val="2"/>
        <scheme val="minor"/>
      </rPr>
      <t>:</t>
    </r>
  </si>
  <si>
    <r>
      <t xml:space="preserve">Hora fin </t>
    </r>
    <r>
      <rPr>
        <b/>
        <sz val="9"/>
        <rFont val="Calibri"/>
        <family val="2"/>
        <scheme val="minor"/>
      </rPr>
      <t>(hh:mm</t>
    </r>
    <r>
      <rPr>
        <b/>
        <sz val="11"/>
        <rFont val="Calibri"/>
        <family val="2"/>
        <scheme val="minor"/>
      </rPr>
      <t>):</t>
    </r>
  </si>
  <si>
    <t>VERIFICACIÓN HUMEDAD MUESTRA 48H</t>
  </si>
  <si>
    <r>
      <t xml:space="preserve">Hora Inicio </t>
    </r>
    <r>
      <rPr>
        <b/>
        <sz val="9"/>
        <rFont val="Calibri"/>
        <family val="2"/>
        <scheme val="minor"/>
      </rPr>
      <t>(hh:mm)</t>
    </r>
    <r>
      <rPr>
        <b/>
        <sz val="10"/>
        <rFont val="Calibri"/>
        <family val="2"/>
        <scheme val="minor"/>
      </rPr>
      <t>:</t>
    </r>
  </si>
  <si>
    <r>
      <t xml:space="preserve">Hora fin </t>
    </r>
    <r>
      <rPr>
        <b/>
        <sz val="9"/>
        <rFont val="Calibri"/>
        <family val="2"/>
        <scheme val="minor"/>
      </rPr>
      <t>(hh:mm)</t>
    </r>
    <r>
      <rPr>
        <b/>
        <sz val="10"/>
        <rFont val="Calibri"/>
        <family val="2"/>
        <scheme val="minor"/>
      </rPr>
      <t>:</t>
    </r>
  </si>
  <si>
    <t>El ensayo se realiza y las notas se realizan en el formato papel por no ser ensayo habitual</t>
  </si>
  <si>
    <t>Verifica si el ensayo aplica, en ese caso se debe marcar papel</t>
  </si>
  <si>
    <t>Datos en papel OK</t>
  </si>
  <si>
    <t>EQ-CERT-305</t>
  </si>
  <si>
    <t>EQ-CERT-304</t>
  </si>
  <si>
    <t>EQ-SAFE-011</t>
  </si>
  <si>
    <t>EQ-SAFE-311; EQ-SAFE-312; EQ-SAFE-313</t>
  </si>
  <si>
    <t>RC-SAFE-015</t>
  </si>
  <si>
    <t>EQ-SAFE-407</t>
  </si>
  <si>
    <t>EQ-SAFE-213</t>
  </si>
  <si>
    <t>EQ-SAFE-216</t>
  </si>
  <si>
    <t>EQ-SAFE-206</t>
  </si>
  <si>
    <t>EQ-SAFE-207</t>
  </si>
  <si>
    <t>EQ-SAFE-305</t>
  </si>
  <si>
    <t>EQ-SAFE-304</t>
  </si>
  <si>
    <t>Estufa / Horno AUTOSTRONG</t>
  </si>
  <si>
    <t>EQ-SAFE-301</t>
  </si>
  <si>
    <t>EQ-SAFE-303</t>
  </si>
  <si>
    <t>EQ-SAFE-403</t>
  </si>
  <si>
    <t>EQ-SAFE-402</t>
  </si>
  <si>
    <t>Rigidez dieléctrica + Resist aisl + Tierra</t>
  </si>
  <si>
    <t>EQ-SAFE-601</t>
  </si>
  <si>
    <t>EQ-SAFE-113</t>
  </si>
  <si>
    <t>EQ-SAFE-214</t>
  </si>
  <si>
    <t>EQ-SAFE-215</t>
  </si>
  <si>
    <t>EQ-SAFE-212</t>
  </si>
  <si>
    <t>EQ-SAFE-122</t>
  </si>
  <si>
    <t>EQ-SAFE-101</t>
  </si>
  <si>
    <t>EQ-SAFE-201</t>
  </si>
  <si>
    <t>EQ-SAFE-221</t>
  </si>
  <si>
    <t>RC-SAFE-001</t>
  </si>
  <si>
    <t>EQ-SAFE-415</t>
  </si>
  <si>
    <t>EQ-SAFE-127</t>
  </si>
  <si>
    <t>EQ-SAFE-173</t>
  </si>
  <si>
    <t>EQ-SAFE-102</t>
  </si>
  <si>
    <t>EQ-SAFE-217</t>
  </si>
  <si>
    <t>EQ-SAFE-318</t>
  </si>
  <si>
    <t>RC-SAFE-004
RC-SAFE-006</t>
  </si>
  <si>
    <t>EQ-SAFE-605</t>
  </si>
  <si>
    <t>EQ-SAFE-167</t>
  </si>
  <si>
    <t>EQ-SAFE-409; EQ-SAFE-121</t>
  </si>
  <si>
    <t>EQ-SAFE-440</t>
  </si>
  <si>
    <t>Vatímetro GW-INSTEK</t>
  </si>
  <si>
    <t>EQ-SAFE-417</t>
  </si>
  <si>
    <t>EQ-SAFE-403 (GW INSTEK) (Bussmann)</t>
  </si>
  <si>
    <t>EQ-SAFE-442 (Elabo)</t>
  </si>
  <si>
    <t>EQ-SAFE-442</t>
  </si>
  <si>
    <t>Medidor de continuidad de tierra (GW INSTEK.)</t>
  </si>
  <si>
    <t>Medidor resistencia de aislamiento (GW INSTEK)</t>
  </si>
  <si>
    <t>Rigidez dieléctrica (GW INSTEK)</t>
  </si>
  <si>
    <t>EQ-SAFE-107</t>
  </si>
  <si>
    <t>EQ-SAFE-437</t>
  </si>
  <si>
    <t>EQ-SAFE-430</t>
  </si>
  <si>
    <t>EQ-SAFE-425</t>
  </si>
  <si>
    <t>Osciloscopio FLUKE</t>
  </si>
  <si>
    <t>EQ-SAFE-106</t>
  </si>
  <si>
    <t>NUEVA</t>
  </si>
  <si>
    <t>EQ-SAFE-001</t>
  </si>
  <si>
    <t>EQ-SAFE-328</t>
  </si>
  <si>
    <t>(nuevo)</t>
  </si>
  <si>
    <t>(recuperado)</t>
  </si>
  <si>
    <t>EQ-SAFE-327 (recuperado)</t>
  </si>
  <si>
    <t>EQ-SAFE-3xx</t>
  </si>
  <si>
    <t>EQ-SAFE-323</t>
  </si>
  <si>
    <t>EQ-SAFE-324(nuevo)</t>
  </si>
  <si>
    <t>EQ-SAFE-302</t>
  </si>
  <si>
    <t>Estufa endurancias DYCOMETAL</t>
  </si>
  <si>
    <t>EQ-SAFE-327</t>
  </si>
  <si>
    <t>EQ-SAFE-324</t>
  </si>
  <si>
    <t>Registrador 20+20 canales Graphtec</t>
  </si>
  <si>
    <t>EQ-SAFE-615 (goteo)</t>
  </si>
  <si>
    <t>EQ-SAFE-111(regadera)</t>
  </si>
  <si>
    <t>EQ-SAFE-174 (arcos)</t>
  </si>
  <si>
    <t>EQ-SAFE-105(boquillas)</t>
  </si>
  <si>
    <t>EQ-SAFE-174 + EQ-SAFE-210</t>
  </si>
  <si>
    <t>EQ-SAFE-105</t>
  </si>
  <si>
    <t>EQ-SAFE-111</t>
  </si>
  <si>
    <t>EQ-SAFE-615</t>
  </si>
  <si>
    <t>EQ-SAFE-211</t>
  </si>
  <si>
    <t>EQ-SAFE-110</t>
  </si>
  <si>
    <t>EQ-SAFE-309; EQ-SAFE-310</t>
  </si>
  <si>
    <t>EQ-SAFE-108</t>
  </si>
  <si>
    <t>EQ-SAFE-107
EQ-SAFE-112</t>
  </si>
  <si>
    <t>EQ-SAFE-311; 
EQ-SAFE-312; 
EQ-SAFE-313</t>
  </si>
  <si>
    <t>RESERVADO COPPER-BS</t>
  </si>
  <si>
    <t>EQ-SAFE-404 (GLC-1000)</t>
  </si>
  <si>
    <t>EQ-SAFE-403 (GPT-15004)</t>
  </si>
  <si>
    <t>EQ-SAFE-402 (GPT-15002)</t>
  </si>
  <si>
    <t>EQ-SAFE-441 (AINUO)</t>
  </si>
  <si>
    <t>Rigidez dieléctrica (GW INSTEK GPT 15002)</t>
  </si>
  <si>
    <t>Rigidez dieléctrica (GW INSTEK GPT 15004)</t>
  </si>
  <si>
    <t>EQ-SAFE-404</t>
  </si>
  <si>
    <t>Corrientes de fuga GW INSTEK - GLC-1000</t>
  </si>
  <si>
    <t>Corrientes de fuga AINUO</t>
  </si>
  <si>
    <t>EQ-SAFE-441</t>
  </si>
  <si>
    <t>EQ-SAFE-104</t>
  </si>
  <si>
    <t>EQ-SAFE-121</t>
  </si>
  <si>
    <t>EQ-SAFE-604</t>
  </si>
  <si>
    <t>EQ-SAFE-307</t>
  </si>
  <si>
    <t>EQ-SAFE-308</t>
  </si>
  <si>
    <t>EQ-SAFE-306</t>
  </si>
  <si>
    <t>EQ-SAFE-444</t>
  </si>
  <si>
    <t>Juego de Galgas</t>
  </si>
  <si>
    <t>RC-SAFE-07; RC-SAFE-09; RC-SAFE-10</t>
  </si>
  <si>
    <t>Multímetro laboratorio TEKTRONIX</t>
  </si>
  <si>
    <t>EQ-SAFE-428</t>
  </si>
  <si>
    <t>EQ-SAFE-409</t>
  </si>
  <si>
    <t>Corrientes de fuga lum. GW INSTEK GLC-1000</t>
  </si>
  <si>
    <t>Corrientes de fuga (contacto). AINUO</t>
  </si>
  <si>
    <t>EQ-SAFE-608</t>
  </si>
  <si>
    <t>RC-SAFE-013</t>
  </si>
  <si>
    <t>EQ-SAFE-103</t>
  </si>
  <si>
    <t>Equipo de IK para caida vertical</t>
  </si>
  <si>
    <t>MÉTODO DE ENSAYO</t>
  </si>
  <si>
    <t>Otros</t>
  </si>
  <si>
    <r>
      <rPr>
        <b/>
        <sz val="11"/>
        <color theme="1"/>
        <rFont val="Calibri"/>
        <family val="2"/>
        <scheme val="minor"/>
      </rPr>
      <t xml:space="preserve">Eha </t>
    </r>
    <r>
      <rPr>
        <sz val="11"/>
        <color theme="1"/>
        <rFont val="Calibri"/>
        <family val="2"/>
        <scheme val="minor"/>
      </rPr>
      <t>Péndulo de Golpeo (EQ-SAFE-102)</t>
    </r>
  </si>
  <si>
    <r>
      <rPr>
        <b/>
        <sz val="11"/>
        <color theme="1"/>
        <rFont val="Calibri"/>
        <family val="2"/>
        <scheme val="minor"/>
      </rPr>
      <t xml:space="preserve">Ehc </t>
    </r>
    <r>
      <rPr>
        <sz val="11"/>
        <color theme="1"/>
        <rFont val="Calibri"/>
        <family val="2"/>
        <scheme val="minor"/>
      </rPr>
      <t>Caída vertical (EQ-SAFE-103)</t>
    </r>
  </si>
  <si>
    <t>Martillo Resorte</t>
  </si>
  <si>
    <t>EQ-SAFE-109</t>
  </si>
  <si>
    <t>EQ-SAFE-326</t>
  </si>
  <si>
    <t>EQ-SAFE-405</t>
  </si>
  <si>
    <t>No son necesarios ensayos de los apartados a) ni b)</t>
  </si>
  <si>
    <t>a) y b) no aplican</t>
  </si>
  <si>
    <t>Faltan datos en sección con a y b)</t>
  </si>
  <si>
    <t>Si a y b no aplican lo da como correcto</t>
  </si>
  <si>
    <t xml:space="preserve">      Ensayos del apartado a):</t>
  </si>
  <si>
    <t xml:space="preserve">     Ensayos del apartado b):</t>
  </si>
  <si>
    <t>En los casos necesarios se realiza según apartados a) y b):</t>
  </si>
  <si>
    <r>
      <rPr>
        <b/>
        <sz val="11"/>
        <color theme="1"/>
        <rFont val="Calibri"/>
        <family val="2"/>
        <scheme val="minor"/>
      </rPr>
      <t xml:space="preserve">Ehb </t>
    </r>
    <r>
      <rPr>
        <sz val="11"/>
        <color theme="1"/>
        <rFont val="Calibri"/>
        <family val="2"/>
        <scheme val="minor"/>
      </rPr>
      <t>Martillo resorte (EQ-SAFE-101)</t>
    </r>
  </si>
  <si>
    <t>EQ-SAFE-606</t>
  </si>
  <si>
    <t>EA-SAFE-605</t>
  </si>
  <si>
    <t>EA-SAFE-620
EQ-SAFE-209</t>
  </si>
  <si>
    <t>EQ-SAFE-232</t>
  </si>
  <si>
    <t>Boquillas de Tobera + Pulverizador +  Bomba de presión</t>
  </si>
  <si>
    <t>EQ-SAFE-232 (IPX9 sistema)</t>
  </si>
  <si>
    <t>EQ-SAFE-235
EQ-SAFE-236</t>
  </si>
  <si>
    <t>Llave dinamométrica hasta 4 N.m
Llave dinamométrica entre 4 N.m y 40N.m</t>
  </si>
  <si>
    <t xml:space="preserve">IEC 60598-1:2024; </t>
  </si>
  <si>
    <t xml:space="preserve">EN IEC 60598-1:2024 + A11:2024; </t>
  </si>
  <si>
    <t>SECCIÓN 7 - CONSTRUCCIÓN</t>
  </si>
  <si>
    <t>7.4</t>
  </si>
  <si>
    <t>7.4 Portalámparas</t>
  </si>
  <si>
    <t>7.4.4</t>
  </si>
  <si>
    <t>7.6 y 7.7.2</t>
  </si>
  <si>
    <t>7.6 y 7.7.2 Bornes y conexiones</t>
  </si>
  <si>
    <t>7.9 Revestimientos y manguitos aislantes</t>
  </si>
  <si>
    <t>7.9</t>
  </si>
  <si>
    <t>7.10</t>
  </si>
  <si>
    <t>7.10 Aislamiento doble o reforzado</t>
  </si>
  <si>
    <t>7.12</t>
  </si>
  <si>
    <t>7.12.1</t>
  </si>
  <si>
    <t>7.12.4</t>
  </si>
  <si>
    <t>7.12 Tornillos uniones y conexiones</t>
  </si>
  <si>
    <t>7.13 Resistencia mecánica</t>
  </si>
  <si>
    <t>7.12.5</t>
  </si>
  <si>
    <t>7.13.1</t>
  </si>
  <si>
    <t>7.13.3</t>
  </si>
  <si>
    <t>7.14.1 Ensayo de carga</t>
  </si>
  <si>
    <t>7.14.1</t>
  </si>
  <si>
    <t>7.18.1 Resistencia a la corrosión</t>
  </si>
  <si>
    <t>7.18.2  Resistencia corrosión (season cracking copper)</t>
  </si>
  <si>
    <t>7.18.1</t>
  </si>
  <si>
    <t>7.18.2</t>
  </si>
  <si>
    <t>7.24.2</t>
  </si>
  <si>
    <t>7.24 Riesgo luz azul</t>
  </si>
  <si>
    <t>7.28 Fijación controles detección térmica</t>
  </si>
  <si>
    <t>7.28</t>
  </si>
  <si>
    <t>7.33 Luminaria alimentada cableado comunicaciónn</t>
  </si>
  <si>
    <t>7.33</t>
  </si>
  <si>
    <t>7.35 Protección aspas ventilador</t>
  </si>
  <si>
    <t>7.35</t>
  </si>
  <si>
    <t>SECCIÓN 7 - CONSTRUCCIÓN Y ESPEC. PARTES -2</t>
  </si>
  <si>
    <t>7 Completa</t>
  </si>
  <si>
    <t>7.6 Y 7.7</t>
  </si>
  <si>
    <t>7.32</t>
  </si>
  <si>
    <t>7.34</t>
  </si>
  <si>
    <t>7.36</t>
  </si>
  <si>
    <t>SECCIÓN 13 - LÍNEAS DE FUGA y DISTANCIAS EN EL AIRE</t>
  </si>
  <si>
    <t>13. LF y DA</t>
  </si>
  <si>
    <t>13.2</t>
  </si>
  <si>
    <t>9. Tierra</t>
  </si>
  <si>
    <t>SECCIÓN 9 - TIERRA</t>
  </si>
  <si>
    <t>9.2.1 + 9.2.3</t>
  </si>
  <si>
    <t>SECCIÓN 8 - CABLEADO</t>
  </si>
  <si>
    <t>8. Cableado</t>
  </si>
  <si>
    <t>8.2.10.3</t>
  </si>
  <si>
    <t>8.4</t>
  </si>
  <si>
    <t>SECCIÓN 10 - PROTEC.CONTRA CHOQUE ELÉCTRICO</t>
  </si>
  <si>
    <t>10. Protección contra choque eléctrico</t>
  </si>
  <si>
    <t>SECCIÓN 14 - CALENTAMIENTO Y ENDURANCIA</t>
  </si>
  <si>
    <t>14. Calentamiento</t>
  </si>
  <si>
    <t>14.3</t>
  </si>
  <si>
    <t>14.5</t>
  </si>
  <si>
    <t>14.6 + 14.7</t>
  </si>
  <si>
    <t>SECCIÓN 11 - IP / HUMEDAD</t>
  </si>
  <si>
    <t>11. IP</t>
  </si>
  <si>
    <t>11.2.4-11.2.13</t>
  </si>
  <si>
    <t>11.2.2-11.2.3</t>
  </si>
  <si>
    <t>11.3</t>
  </si>
  <si>
    <t>SECCIÓN 12 - RIGIDEZ / RES. AISLAM / CORR FUGA</t>
  </si>
  <si>
    <t>12. Rigidez / Resist. Aislam / Corrientes fuga</t>
  </si>
  <si>
    <t>12.2.2</t>
  </si>
  <si>
    <t>12.2.3</t>
  </si>
  <si>
    <t>SECCIÓN 15 - RESISTENCIA AL FUEGO</t>
  </si>
  <si>
    <t>15.2.1</t>
  </si>
  <si>
    <t>15.3.1</t>
  </si>
  <si>
    <t>15.3.2</t>
  </si>
  <si>
    <t>15.4</t>
  </si>
  <si>
    <t>15. Resistencia al fuego</t>
  </si>
  <si>
    <t>SECCIÓN 16 - BORNES DE TORNILLO</t>
  </si>
  <si>
    <t>16.1-16.2</t>
  </si>
  <si>
    <t>16.3</t>
  </si>
  <si>
    <t>SECCIÓN 16 y 17 - BORNES</t>
  </si>
  <si>
    <t>SECCIÓN 17 - BORNES SIN TORNILLO Y CONEXIONES ELÉCTRICAS</t>
  </si>
  <si>
    <t>16 y 17 Bornes</t>
  </si>
  <si>
    <t>17.1-17.2</t>
  </si>
  <si>
    <t>17.4</t>
  </si>
  <si>
    <t>SECCIÓN 164 TORNILLO</t>
  </si>
  <si>
    <t>FALTA DATOS SEC 16</t>
  </si>
  <si>
    <t>SECCIÓN 17 SIN TORNILLO</t>
  </si>
  <si>
    <t>FALTA DATOS SEC 17</t>
  </si>
  <si>
    <t>17.5</t>
  </si>
  <si>
    <t>6.5. Verificación del marcado</t>
  </si>
  <si>
    <t>7.4.4. Colocación fácil y correcta de los portalámparas</t>
  </si>
  <si>
    <t>7.6. Bloques de conexión</t>
  </si>
  <si>
    <t>7.7.2. Bornes y conexiones a la red de alimentación</t>
  </si>
  <si>
    <t>7.9. Revestimientos y manguitos aislantes</t>
  </si>
  <si>
    <t>7.10. Aislamiento doble o reforzado</t>
  </si>
  <si>
    <t>7.12. Tornillos y conexiones mecánicas y prensaestopas</t>
  </si>
  <si>
    <t>7.13. Ensayo de golpe martillo impacto</t>
  </si>
  <si>
    <t>7.14. Suspensiones, fijaciones y dispositivos de regulación</t>
  </si>
  <si>
    <t>7.18. Resistencia a la corrosión</t>
  </si>
  <si>
    <t xml:space="preserve">7.24.2. Riesgo retiniano de luz azul </t>
  </si>
  <si>
    <t>7.28. Fijación de los dispositivos de control sensibles a la temperatura</t>
  </si>
  <si>
    <t>7.35 Protección contra las aspas de un ventilador</t>
  </si>
  <si>
    <t>13.2. Líneas de fuga y distancias en el aire</t>
  </si>
  <si>
    <t>9. Continuidad circuito tierra</t>
  </si>
  <si>
    <t>8.2 Conexiones a la red y otros cableados externos</t>
  </si>
  <si>
    <t>14. Endurancia / Calentamientos / Humedad</t>
  </si>
  <si>
    <t>11. Ensayos de IP y humedad</t>
  </si>
  <si>
    <t>12.2.1. Resistencia de aislamiento</t>
  </si>
  <si>
    <t>12.2.2. Rigidez dieléctrica</t>
  </si>
  <si>
    <t>12.3. Corrientes de fuga</t>
  </si>
  <si>
    <t>SECCIÓN 153</t>
  </si>
  <si>
    <t>15.2. Resistencia al calor</t>
  </si>
  <si>
    <t>15.3.1 Resistencia a la llama y a la inflamación</t>
  </si>
  <si>
    <t>15.3.2 Hilo inandescente</t>
  </si>
  <si>
    <t>15.4 Frormación de caminos conductores</t>
  </si>
  <si>
    <t>EQ-SAFE-330</t>
  </si>
  <si>
    <t>Cámara climática (3)</t>
  </si>
  <si>
    <t>v2.1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</si>
</sst>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h:mm;@"/>
  </numFmts>
  <fonts count="57">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b/>
      <sz val="14"/>
      <color theme="1"/>
      <name val="Calibri"/>
      <family val="2"/>
      <scheme val="minor"/>
    </font>
    <font>
      <sz val="11"/>
      <name val="Calibri"/>
      <family val="2"/>
      <scheme val="minor"/>
    </font>
    <font>
      <b/>
      <sz val="11"/>
      <name val="Calibri"/>
      <family val="2"/>
      <scheme val="minor"/>
    </font>
    <font>
      <sz val="8"/>
      <color rgb="FF000000"/>
      <name val="Segoe UI"/>
      <family val="2"/>
    </font>
    <font>
      <sz val="11"/>
      <color rgb="FFFF0000"/>
      <name val="Calibri"/>
      <family val="2"/>
      <scheme val="minor"/>
    </font>
    <font>
      <b/>
      <sz val="16"/>
      <color theme="1"/>
      <name val="Calibri"/>
      <family val="2"/>
      <scheme val="minor"/>
    </font>
    <font>
      <sz val="11"/>
      <color theme="2" tint="-0.499984740745262"/>
      <name val="Calibri"/>
      <family val="2"/>
      <scheme val="minor"/>
    </font>
    <font>
      <sz val="16"/>
      <color theme="1"/>
      <name val="Calibri"/>
      <family val="2"/>
      <scheme val="minor"/>
    </font>
    <font>
      <sz val="14"/>
      <color theme="1"/>
      <name val="Calibri"/>
      <family val="2"/>
      <scheme val="minor"/>
    </font>
    <font>
      <sz val="11"/>
      <color theme="1"/>
      <name val="Calibri"/>
      <family val="2"/>
    </font>
    <font>
      <sz val="11"/>
      <color theme="0" tint="-0.34998626667073579"/>
      <name val="Calibri"/>
      <family val="2"/>
      <scheme val="minor"/>
    </font>
    <font>
      <b/>
      <sz val="11"/>
      <color rgb="FFFF0000"/>
      <name val="Calibri"/>
      <family val="2"/>
      <scheme val="minor"/>
    </font>
    <font>
      <b/>
      <u/>
      <sz val="11"/>
      <color theme="1"/>
      <name val="Calibri"/>
      <family val="2"/>
      <scheme val="minor"/>
    </font>
    <font>
      <sz val="10"/>
      <color theme="1"/>
      <name val="Calibri"/>
      <family val="2"/>
      <scheme val="minor"/>
    </font>
    <font>
      <sz val="9"/>
      <color theme="1"/>
      <name val="Calibri"/>
      <family val="2"/>
      <scheme val="minor"/>
    </font>
    <font>
      <b/>
      <sz val="12"/>
      <color theme="1"/>
      <name val="Calibri"/>
      <family val="2"/>
      <scheme val="minor"/>
    </font>
    <font>
      <strike/>
      <sz val="11"/>
      <color theme="1"/>
      <name val="Calibri"/>
      <family val="2"/>
      <scheme val="minor"/>
    </font>
    <font>
      <b/>
      <sz val="10"/>
      <color theme="1"/>
      <name val="Calibri"/>
      <family val="2"/>
      <scheme val="minor"/>
    </font>
    <font>
      <b/>
      <sz val="9"/>
      <color theme="1"/>
      <name val="Calibri"/>
      <family val="2"/>
      <scheme val="minor"/>
    </font>
    <font>
      <sz val="9"/>
      <color theme="0" tint="-0.34998626667073579"/>
      <name val="Calibri"/>
      <family val="2"/>
      <scheme val="minor"/>
    </font>
    <font>
      <b/>
      <sz val="8"/>
      <color rgb="FFFF0000"/>
      <name val="Calibri"/>
      <family val="2"/>
      <scheme val="minor"/>
    </font>
    <font>
      <b/>
      <sz val="10"/>
      <color rgb="FFFF0000"/>
      <name val="Calibri"/>
      <family val="2"/>
      <scheme val="minor"/>
    </font>
    <font>
      <b/>
      <sz val="9"/>
      <color rgb="FFFF0000"/>
      <name val="Calibri"/>
      <family val="2"/>
      <scheme val="minor"/>
    </font>
    <font>
      <vertAlign val="subscript"/>
      <sz val="11"/>
      <color theme="1"/>
      <name val="Calibri"/>
      <family val="2"/>
      <scheme val="minor"/>
    </font>
    <font>
      <sz val="10"/>
      <color theme="2" tint="-0.499984740745262"/>
      <name val="Calibri"/>
      <family val="2"/>
      <scheme val="minor"/>
    </font>
    <font>
      <sz val="11"/>
      <color theme="0"/>
      <name val="Calibri"/>
      <family val="2"/>
      <scheme val="minor"/>
    </font>
    <font>
      <u/>
      <sz val="11"/>
      <color theme="1"/>
      <name val="Calibri"/>
      <family val="2"/>
      <scheme val="minor"/>
    </font>
    <font>
      <b/>
      <sz val="12"/>
      <color rgb="FFFF0000"/>
      <name val="Calibri"/>
      <family val="2"/>
      <scheme val="minor"/>
    </font>
    <font>
      <b/>
      <sz val="11"/>
      <color theme="4"/>
      <name val="Calibri"/>
      <family val="2"/>
      <scheme val="minor"/>
    </font>
    <font>
      <strike/>
      <sz val="9"/>
      <color theme="1"/>
      <name val="Calibri"/>
      <family val="2"/>
      <scheme val="minor"/>
    </font>
    <font>
      <b/>
      <sz val="16"/>
      <name val="Calibri"/>
      <family val="2"/>
      <scheme val="minor"/>
    </font>
    <font>
      <sz val="9"/>
      <name val="Calibri"/>
      <family val="2"/>
      <scheme val="minor"/>
    </font>
    <font>
      <sz val="11"/>
      <color theme="1"/>
      <name val="Calibri"/>
      <family val="2"/>
      <scheme val="minor"/>
    </font>
    <font>
      <sz val="10"/>
      <color rgb="FFFF0000"/>
      <name val="Calibri"/>
      <family val="2"/>
      <scheme val="minor"/>
    </font>
    <font>
      <b/>
      <sz val="36"/>
      <color theme="1"/>
      <name val="Calibri"/>
      <family val="2"/>
      <scheme val="minor"/>
    </font>
    <font>
      <b/>
      <sz val="22"/>
      <color theme="1"/>
      <name val="Calibri"/>
      <family val="2"/>
      <scheme val="minor"/>
    </font>
    <font>
      <sz val="9"/>
      <color rgb="FFFF0000"/>
      <name val="Calibri"/>
      <family val="2"/>
      <scheme val="minor"/>
    </font>
    <font>
      <sz val="11"/>
      <color theme="1"/>
      <name val="Arial"/>
      <family val="2"/>
    </font>
    <font>
      <sz val="11"/>
      <color theme="0" tint="-0.499984740745262"/>
      <name val="Calibri"/>
      <family val="2"/>
      <scheme val="minor"/>
    </font>
    <font>
      <sz val="11"/>
      <color theme="1"/>
      <name val="Calibri "/>
    </font>
    <font>
      <b/>
      <vertAlign val="superscript"/>
      <sz val="11"/>
      <color theme="1"/>
      <name val="Calibri"/>
      <family val="2"/>
      <scheme val="minor"/>
    </font>
    <font>
      <b/>
      <sz val="20"/>
      <color theme="1"/>
      <name val="Calibri"/>
      <family val="2"/>
      <scheme val="minor"/>
    </font>
    <font>
      <sz val="8"/>
      <color theme="1"/>
      <name val="Calibri"/>
      <family val="2"/>
      <scheme val="minor"/>
    </font>
    <font>
      <sz val="11"/>
      <color theme="5" tint="0.59999389629810485"/>
      <name val="Calibri"/>
      <family val="2"/>
      <scheme val="minor"/>
    </font>
    <font>
      <b/>
      <vertAlign val="superscript"/>
      <sz val="10"/>
      <color theme="1"/>
      <name val="Calibri"/>
      <family val="2"/>
      <scheme val="minor"/>
    </font>
    <font>
      <vertAlign val="superscript"/>
      <sz val="11"/>
      <name val="Calibri"/>
      <family val="2"/>
      <scheme val="minor"/>
    </font>
    <font>
      <b/>
      <sz val="11"/>
      <name val="Calibri Light"/>
      <family val="2"/>
      <scheme val="major"/>
    </font>
    <font>
      <b/>
      <sz val="9"/>
      <name val="Calibri Light"/>
      <family val="2"/>
      <scheme val="major"/>
    </font>
    <font>
      <b/>
      <sz val="10"/>
      <name val="Calibri"/>
      <family val="2"/>
      <scheme val="minor"/>
    </font>
    <font>
      <b/>
      <sz val="9"/>
      <name val="Calibri"/>
      <family val="2"/>
      <scheme val="minor"/>
    </font>
    <font>
      <sz val="8"/>
      <color rgb="FFFF0000"/>
      <name val="Calibri"/>
      <family val="2"/>
      <scheme val="minor"/>
    </font>
    <font>
      <sz val="12"/>
      <color theme="1"/>
      <name val="Calibri"/>
      <family val="2"/>
      <scheme val="minor"/>
    </font>
    <font>
      <sz val="10"/>
      <color theme="1"/>
      <name val="Arial"/>
      <family val="2"/>
    </font>
  </fonts>
  <fills count="30">
    <fill>
      <patternFill patternType="none"/>
    </fill>
    <fill>
      <patternFill patternType="gray125"/>
    </fill>
    <fill>
      <patternFill patternType="solid">
        <fgColor rgb="FFB4C6E7"/>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5E0B3"/>
        <bgColor indexed="64"/>
      </patternFill>
    </fill>
    <fill>
      <patternFill patternType="solid">
        <fgColor rgb="FFED7D3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39997558519241921"/>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0" tint="-4.9989318521683403E-2"/>
        <bgColor indexed="64"/>
      </patternFill>
    </fill>
  </fills>
  <borders count="63">
    <border>
      <left/>
      <right/>
      <top/>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s>
  <cellStyleXfs count="2">
    <xf numFmtId="0" fontId="0" fillId="0" borderId="0"/>
    <xf numFmtId="9" fontId="36" fillId="0" borderId="0" applyFont="0" applyFill="0" applyBorder="0" applyAlignment="0" applyProtection="0"/>
  </cellStyleXfs>
  <cellXfs count="829">
    <xf numFmtId="0" fontId="0" fillId="0" borderId="0" xfId="0"/>
    <xf numFmtId="0" fontId="0" fillId="0" borderId="2" xfId="0" applyBorder="1"/>
    <xf numFmtId="0" fontId="1" fillId="0" borderId="0" xfId="0" applyFont="1"/>
    <xf numFmtId="0" fontId="0" fillId="0" borderId="0" xfId="0" applyAlignment="1">
      <alignment wrapText="1"/>
    </xf>
    <xf numFmtId="0" fontId="0" fillId="0" borderId="7" xfId="0" applyBorder="1" applyAlignment="1">
      <alignment wrapText="1"/>
    </xf>
    <xf numFmtId="0" fontId="0" fillId="0" borderId="8" xfId="0" applyBorder="1"/>
    <xf numFmtId="0" fontId="0" fillId="0" borderId="9" xfId="0" applyBorder="1" applyAlignment="1">
      <alignment wrapText="1"/>
    </xf>
    <xf numFmtId="0" fontId="0" fillId="0" borderId="3" xfId="0" applyBorder="1"/>
    <xf numFmtId="0" fontId="0" fillId="4" borderId="0" xfId="0" applyFill="1"/>
    <xf numFmtId="0" fontId="0" fillId="5" borderId="0" xfId="0" applyFill="1"/>
    <xf numFmtId="0" fontId="0" fillId="6" borderId="0" xfId="0" applyFill="1"/>
    <xf numFmtId="0" fontId="5" fillId="0" borderId="0" xfId="0" applyFont="1"/>
    <xf numFmtId="0" fontId="6" fillId="0" borderId="0" xfId="0" applyFont="1"/>
    <xf numFmtId="0" fontId="0" fillId="9" borderId="0" xfId="0" applyFill="1"/>
    <xf numFmtId="0" fontId="0" fillId="10" borderId="0" xfId="0" applyFill="1"/>
    <xf numFmtId="0" fontId="0" fillId="11" borderId="0" xfId="0" applyFill="1"/>
    <xf numFmtId="0" fontId="0" fillId="0" borderId="0" xfId="0" applyAlignment="1">
      <alignment horizontal="left"/>
    </xf>
    <xf numFmtId="0" fontId="5" fillId="0" borderId="0" xfId="0" applyFont="1" applyAlignment="1">
      <alignment wrapText="1"/>
    </xf>
    <xf numFmtId="0" fontId="0" fillId="13" borderId="0" xfId="0" applyFill="1"/>
    <xf numFmtId="0" fontId="0" fillId="16" borderId="0" xfId="0" applyFill="1"/>
    <xf numFmtId="0" fontId="12" fillId="0" borderId="0" xfId="0" applyFont="1"/>
    <xf numFmtId="0" fontId="0" fillId="0" borderId="14" xfId="0" applyBorder="1"/>
    <xf numFmtId="0" fontId="0" fillId="16" borderId="7" xfId="0" applyFill="1" applyBorder="1"/>
    <xf numFmtId="0" fontId="0" fillId="4" borderId="7" xfId="0" applyFill="1" applyBorder="1"/>
    <xf numFmtId="0" fontId="0" fillId="13" borderId="7" xfId="0" applyFill="1" applyBorder="1"/>
    <xf numFmtId="0" fontId="19" fillId="0" borderId="0" xfId="0" applyFont="1"/>
    <xf numFmtId="0" fontId="0" fillId="15" borderId="14" xfId="0" applyFill="1" applyBorder="1" applyAlignment="1" applyProtection="1">
      <alignment horizontal="center" vertical="center"/>
      <protection locked="0"/>
    </xf>
    <xf numFmtId="14" fontId="0" fillId="15" borderId="14" xfId="0" applyNumberFormat="1" applyFill="1" applyBorder="1" applyAlignment="1" applyProtection="1">
      <alignment horizontal="center" vertical="center"/>
      <protection locked="0"/>
    </xf>
    <xf numFmtId="0" fontId="4" fillId="12" borderId="0" xfId="0" applyFont="1" applyFill="1" applyAlignment="1">
      <alignment horizontal="center"/>
    </xf>
    <xf numFmtId="0" fontId="4" fillId="13" borderId="0" xfId="0" applyFont="1" applyFill="1" applyAlignment="1">
      <alignment horizontal="center"/>
    </xf>
    <xf numFmtId="0" fontId="4" fillId="14" borderId="0" xfId="0" applyFont="1" applyFill="1" applyAlignment="1">
      <alignment horizontal="center"/>
    </xf>
    <xf numFmtId="0" fontId="4" fillId="22" borderId="0" xfId="0" applyFont="1" applyFill="1" applyAlignment="1">
      <alignment horizontal="center"/>
    </xf>
    <xf numFmtId="0" fontId="9" fillId="4" borderId="0" xfId="0" applyFont="1" applyFill="1"/>
    <xf numFmtId="0" fontId="0" fillId="12" borderId="0" xfId="0" applyFill="1"/>
    <xf numFmtId="0" fontId="0" fillId="14" borderId="0" xfId="0" applyFill="1"/>
    <xf numFmtId="0" fontId="0" fillId="22" borderId="0" xfId="0" applyFill="1"/>
    <xf numFmtId="0" fontId="1" fillId="14" borderId="14" xfId="0" applyFont="1" applyFill="1" applyBorder="1" applyAlignment="1">
      <alignment horizontal="center" vertical="center"/>
    </xf>
    <xf numFmtId="0" fontId="0" fillId="15" borderId="14" xfId="0" applyFill="1" applyBorder="1" applyAlignment="1">
      <alignment horizontal="center" vertical="center"/>
    </xf>
    <xf numFmtId="14" fontId="0" fillId="15" borderId="14" xfId="0" applyNumberFormat="1" applyFill="1" applyBorder="1" applyAlignment="1">
      <alignment horizontal="center" vertical="center"/>
    </xf>
    <xf numFmtId="0" fontId="0" fillId="14" borderId="24" xfId="0" applyFill="1" applyBorder="1"/>
    <xf numFmtId="0" fontId="0" fillId="14" borderId="29" xfId="0" applyFill="1" applyBorder="1"/>
    <xf numFmtId="0" fontId="0" fillId="14" borderId="26" xfId="0" applyFill="1" applyBorder="1"/>
    <xf numFmtId="0" fontId="0" fillId="14" borderId="14" xfId="0" applyFill="1" applyBorder="1"/>
    <xf numFmtId="0" fontId="0" fillId="14" borderId="28" xfId="0" applyFill="1" applyBorder="1"/>
    <xf numFmtId="0" fontId="0" fillId="14" borderId="31" xfId="0" applyFill="1" applyBorder="1"/>
    <xf numFmtId="0" fontId="9" fillId="6" borderId="0" xfId="0" applyFont="1" applyFill="1"/>
    <xf numFmtId="0" fontId="1" fillId="6" borderId="0" xfId="0" applyFont="1" applyFill="1"/>
    <xf numFmtId="0" fontId="1" fillId="14" borderId="24" xfId="0" applyFont="1" applyFill="1" applyBorder="1"/>
    <xf numFmtId="0" fontId="1" fillId="14" borderId="26" xfId="0" applyFont="1" applyFill="1" applyBorder="1"/>
    <xf numFmtId="0" fontId="1" fillId="14" borderId="28" xfId="0" applyFont="1" applyFill="1" applyBorder="1"/>
    <xf numFmtId="0" fontId="8" fillId="6" borderId="0" xfId="0" applyFont="1" applyFill="1"/>
    <xf numFmtId="0" fontId="9" fillId="16" borderId="0" xfId="0" applyFont="1" applyFill="1"/>
    <xf numFmtId="0" fontId="11" fillId="16" borderId="0" xfId="0" applyFont="1" applyFill="1"/>
    <xf numFmtId="0" fontId="11" fillId="0" borderId="0" xfId="0" applyFont="1"/>
    <xf numFmtId="0" fontId="1" fillId="16" borderId="0" xfId="0" applyFont="1" applyFill="1"/>
    <xf numFmtId="0" fontId="4" fillId="16" borderId="0" xfId="0" applyFont="1" applyFill="1"/>
    <xf numFmtId="0" fontId="0" fillId="17" borderId="0" xfId="0" applyFill="1"/>
    <xf numFmtId="0" fontId="1" fillId="17" borderId="0" xfId="0" applyFont="1" applyFill="1"/>
    <xf numFmtId="0" fontId="1" fillId="14" borderId="41" xfId="0" applyFont="1" applyFill="1" applyBorder="1"/>
    <xf numFmtId="0" fontId="1" fillId="14" borderId="42" xfId="0" applyFont="1" applyFill="1" applyBorder="1"/>
    <xf numFmtId="0" fontId="1" fillId="14" borderId="43" xfId="0" applyFont="1" applyFill="1" applyBorder="1"/>
    <xf numFmtId="0" fontId="1" fillId="5" borderId="0" xfId="0" applyFont="1" applyFill="1"/>
    <xf numFmtId="0" fontId="1" fillId="4" borderId="0" xfId="0" applyFont="1" applyFill="1"/>
    <xf numFmtId="0" fontId="0" fillId="14" borderId="12" xfId="0" applyFill="1" applyBorder="1"/>
    <xf numFmtId="0" fontId="0" fillId="14" borderId="3" xfId="0" applyFill="1" applyBorder="1"/>
    <xf numFmtId="0" fontId="0" fillId="14" borderId="23" xfId="0" applyFill="1" applyBorder="1" applyAlignment="1">
      <alignment horizontal="right"/>
    </xf>
    <xf numFmtId="0" fontId="0" fillId="14" borderId="25" xfId="0" applyFill="1" applyBorder="1" applyAlignment="1">
      <alignment horizontal="right"/>
    </xf>
    <xf numFmtId="0" fontId="0" fillId="14" borderId="27" xfId="0" applyFill="1" applyBorder="1" applyAlignment="1">
      <alignment horizontal="right"/>
    </xf>
    <xf numFmtId="0" fontId="0" fillId="16" borderId="0" xfId="0" quotePrefix="1" applyFill="1"/>
    <xf numFmtId="0" fontId="0" fillId="14" borderId="23" xfId="0" applyFill="1" applyBorder="1"/>
    <xf numFmtId="0" fontId="0" fillId="14" borderId="25" xfId="0" applyFill="1" applyBorder="1"/>
    <xf numFmtId="0" fontId="0" fillId="14" borderId="27" xfId="0" applyFill="1" applyBorder="1"/>
    <xf numFmtId="0" fontId="0" fillId="16" borderId="0" xfId="0" applyFill="1" applyAlignment="1">
      <alignment horizontal="center" vertical="center"/>
    </xf>
    <xf numFmtId="14" fontId="0" fillId="16" borderId="0" xfId="0" applyNumberFormat="1" applyFill="1" applyAlignment="1">
      <alignment horizontal="center" vertical="center"/>
    </xf>
    <xf numFmtId="0" fontId="0" fillId="17" borderId="0" xfId="0" applyFill="1" applyAlignment="1">
      <alignment horizontal="left"/>
    </xf>
    <xf numFmtId="0" fontId="0" fillId="6" borderId="0" xfId="0" applyFill="1" applyAlignment="1">
      <alignment horizontal="left"/>
    </xf>
    <xf numFmtId="0" fontId="0" fillId="18" borderId="0" xfId="0" applyFill="1"/>
    <xf numFmtId="0" fontId="1" fillId="18" borderId="0" xfId="0" applyFont="1" applyFill="1"/>
    <xf numFmtId="0" fontId="0" fillId="14" borderId="1" xfId="0" applyFill="1" applyBorder="1"/>
    <xf numFmtId="0" fontId="9" fillId="5" borderId="0" xfId="0" applyFont="1" applyFill="1"/>
    <xf numFmtId="0" fontId="0" fillId="19" borderId="0" xfId="0" applyFill="1"/>
    <xf numFmtId="0" fontId="1" fillId="19" borderId="0" xfId="0" applyFont="1" applyFill="1"/>
    <xf numFmtId="0" fontId="1" fillId="14" borderId="26" xfId="0" applyFont="1" applyFill="1"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9" fillId="20" borderId="0" xfId="0" applyFont="1" applyFill="1"/>
    <xf numFmtId="0" fontId="0" fillId="20" borderId="0" xfId="0" applyFill="1"/>
    <xf numFmtId="0" fontId="1" fillId="20" borderId="0" xfId="0" applyFont="1" applyFill="1"/>
    <xf numFmtId="9" fontId="0" fillId="15" borderId="14" xfId="0" applyNumberFormat="1" applyFill="1" applyBorder="1" applyAlignment="1">
      <alignment horizontal="center" vertical="center"/>
    </xf>
    <xf numFmtId="0" fontId="16" fillId="5" borderId="0" xfId="0" applyFont="1" applyFill="1"/>
    <xf numFmtId="0" fontId="0" fillId="18" borderId="0" xfId="0" applyFill="1" applyAlignment="1">
      <alignment horizontal="center" vertical="center"/>
    </xf>
    <xf numFmtId="9" fontId="0" fillId="18" borderId="0" xfId="0" applyNumberFormat="1" applyFill="1" applyAlignment="1">
      <alignment horizontal="center" vertical="center"/>
    </xf>
    <xf numFmtId="14" fontId="0" fillId="18" borderId="0" xfId="0" applyNumberFormat="1" applyFill="1" applyAlignment="1">
      <alignment horizontal="center" vertical="center"/>
    </xf>
    <xf numFmtId="0" fontId="16" fillId="18" borderId="0" xfId="0" applyFont="1" applyFill="1"/>
    <xf numFmtId="0" fontId="0" fillId="12" borderId="23" xfId="0" applyFill="1" applyBorder="1" applyProtection="1">
      <protection locked="0"/>
    </xf>
    <xf numFmtId="0" fontId="0" fillId="13" borderId="29" xfId="0" applyFill="1" applyBorder="1" applyProtection="1">
      <protection locked="0"/>
    </xf>
    <xf numFmtId="0" fontId="0" fillId="14" borderId="29" xfId="0" applyFill="1" applyBorder="1" applyProtection="1">
      <protection locked="0"/>
    </xf>
    <xf numFmtId="0" fontId="0" fillId="22" borderId="29" xfId="0" applyFill="1" applyBorder="1" applyProtection="1">
      <protection locked="0"/>
    </xf>
    <xf numFmtId="0" fontId="0" fillId="12" borderId="29" xfId="0" applyFill="1" applyBorder="1" applyProtection="1">
      <protection locked="0"/>
    </xf>
    <xf numFmtId="0" fontId="0" fillId="22" borderId="30" xfId="0" applyFill="1" applyBorder="1" applyProtection="1">
      <protection locked="0"/>
    </xf>
    <xf numFmtId="0" fontId="0" fillId="12" borderId="25" xfId="0" applyFill="1" applyBorder="1" applyProtection="1">
      <protection locked="0"/>
    </xf>
    <xf numFmtId="0" fontId="0" fillId="13" borderId="14" xfId="0" applyFill="1" applyBorder="1" applyProtection="1">
      <protection locked="0"/>
    </xf>
    <xf numFmtId="0" fontId="0" fillId="14" borderId="14" xfId="0" applyFill="1" applyBorder="1" applyProtection="1">
      <protection locked="0"/>
    </xf>
    <xf numFmtId="0" fontId="0" fillId="22" borderId="14" xfId="0" applyFill="1" applyBorder="1" applyProtection="1">
      <protection locked="0"/>
    </xf>
    <xf numFmtId="0" fontId="0" fillId="12" borderId="14" xfId="0" applyFill="1" applyBorder="1" applyProtection="1">
      <protection locked="0"/>
    </xf>
    <xf numFmtId="0" fontId="0" fillId="22" borderId="35" xfId="0" applyFill="1" applyBorder="1" applyProtection="1">
      <protection locked="0"/>
    </xf>
    <xf numFmtId="0" fontId="0" fillId="12" borderId="27" xfId="0" applyFill="1" applyBorder="1" applyProtection="1">
      <protection locked="0"/>
    </xf>
    <xf numFmtId="0" fontId="0" fillId="13" borderId="31" xfId="0" applyFill="1" applyBorder="1" applyProtection="1">
      <protection locked="0"/>
    </xf>
    <xf numFmtId="0" fontId="0" fillId="14" borderId="31" xfId="0" applyFill="1" applyBorder="1" applyProtection="1">
      <protection locked="0"/>
    </xf>
    <xf numFmtId="0" fontId="0" fillId="22" borderId="31" xfId="0" applyFill="1" applyBorder="1" applyProtection="1">
      <protection locked="0"/>
    </xf>
    <xf numFmtId="0" fontId="0" fillId="12" borderId="31" xfId="0" applyFill="1" applyBorder="1" applyProtection="1">
      <protection locked="0"/>
    </xf>
    <xf numFmtId="0" fontId="0" fillId="22" borderId="32" xfId="0" applyFill="1" applyBorder="1" applyProtection="1">
      <protection locked="0"/>
    </xf>
    <xf numFmtId="0" fontId="17" fillId="0" borderId="14" xfId="0" applyFont="1" applyBorder="1"/>
    <xf numFmtId="0" fontId="18" fillId="0" borderId="14" xfId="0" applyFont="1" applyBorder="1"/>
    <xf numFmtId="0" fontId="0" fillId="0" borderId="14" xfId="0" quotePrefix="1" applyBorder="1" applyAlignment="1">
      <alignment horizontal="center"/>
    </xf>
    <xf numFmtId="0" fontId="17" fillId="0" borderId="14" xfId="0" applyFont="1" applyBorder="1" applyAlignment="1">
      <alignment horizontal="center"/>
    </xf>
    <xf numFmtId="0" fontId="0" fillId="12" borderId="0" xfId="0" applyFill="1" applyProtection="1">
      <protection locked="0"/>
    </xf>
    <xf numFmtId="0" fontId="0" fillId="13" borderId="0" xfId="0" applyFill="1" applyProtection="1">
      <protection locked="0"/>
    </xf>
    <xf numFmtId="0" fontId="0" fillId="14" borderId="0" xfId="0" applyFill="1" applyProtection="1">
      <protection locked="0"/>
    </xf>
    <xf numFmtId="0" fontId="0" fillId="22" borderId="0" xfId="0" applyFill="1" applyProtection="1">
      <protection locked="0"/>
    </xf>
    <xf numFmtId="0" fontId="11" fillId="12" borderId="0" xfId="0" applyFont="1" applyFill="1" applyProtection="1">
      <protection locked="0"/>
    </xf>
    <xf numFmtId="0" fontId="11" fillId="13" borderId="0" xfId="0" applyFont="1" applyFill="1" applyProtection="1">
      <protection locked="0"/>
    </xf>
    <xf numFmtId="0" fontId="11" fillId="14" borderId="0" xfId="0" applyFont="1" applyFill="1" applyProtection="1">
      <protection locked="0"/>
    </xf>
    <xf numFmtId="0" fontId="11" fillId="22" borderId="0" xfId="0" applyFont="1" applyFill="1" applyProtection="1">
      <protection locked="0"/>
    </xf>
    <xf numFmtId="0" fontId="4" fillId="12" borderId="0" xfId="0" applyFont="1" applyFill="1" applyProtection="1">
      <protection locked="0"/>
    </xf>
    <xf numFmtId="0" fontId="12" fillId="13" borderId="0" xfId="0" applyFont="1" applyFill="1" applyProtection="1">
      <protection locked="0"/>
    </xf>
    <xf numFmtId="0" fontId="12" fillId="14" borderId="0" xfId="0" applyFont="1" applyFill="1" applyProtection="1">
      <protection locked="0"/>
    </xf>
    <xf numFmtId="0" fontId="12" fillId="22" borderId="0" xfId="0" applyFont="1" applyFill="1" applyProtection="1">
      <protection locked="0"/>
    </xf>
    <xf numFmtId="0" fontId="12" fillId="12" borderId="0" xfId="0" applyFont="1" applyFill="1" applyProtection="1">
      <protection locked="0"/>
    </xf>
    <xf numFmtId="0" fontId="0" fillId="12" borderId="36" xfId="0" applyFill="1" applyBorder="1" applyProtection="1">
      <protection locked="0"/>
    </xf>
    <xf numFmtId="0" fontId="0" fillId="13" borderId="33" xfId="0" applyFill="1" applyBorder="1" applyProtection="1">
      <protection locked="0"/>
    </xf>
    <xf numFmtId="0" fontId="0" fillId="14" borderId="33" xfId="0" applyFill="1" applyBorder="1" applyProtection="1">
      <protection locked="0"/>
    </xf>
    <xf numFmtId="0" fontId="0" fillId="22" borderId="33" xfId="0" applyFill="1" applyBorder="1" applyProtection="1">
      <protection locked="0"/>
    </xf>
    <xf numFmtId="0" fontId="0" fillId="12" borderId="33" xfId="0" applyFill="1" applyBorder="1" applyProtection="1">
      <protection locked="0"/>
    </xf>
    <xf numFmtId="0" fontId="0" fillId="22" borderId="34" xfId="0" applyFill="1" applyBorder="1" applyProtection="1">
      <protection locked="0"/>
    </xf>
    <xf numFmtId="0" fontId="15" fillId="12" borderId="0" xfId="0" applyFont="1" applyFill="1" applyProtection="1">
      <protection locked="0"/>
    </xf>
    <xf numFmtId="0" fontId="15" fillId="13" borderId="0" xfId="0" applyFont="1" applyFill="1" applyProtection="1">
      <protection locked="0"/>
    </xf>
    <xf numFmtId="0" fontId="15" fillId="14" borderId="0" xfId="0" applyFont="1" applyFill="1" applyProtection="1">
      <protection locked="0"/>
    </xf>
    <xf numFmtId="0" fontId="1" fillId="0" borderId="14" xfId="0" applyFont="1" applyBorder="1"/>
    <xf numFmtId="0" fontId="21" fillId="0" borderId="14" xfId="0" applyFont="1" applyBorder="1"/>
    <xf numFmtId="0" fontId="22" fillId="0" borderId="14" xfId="0" applyFont="1" applyBorder="1"/>
    <xf numFmtId="0" fontId="19" fillId="0" borderId="11" xfId="0" applyFont="1" applyBorder="1"/>
    <xf numFmtId="0" fontId="0" fillId="0" borderId="12" xfId="0" applyBorder="1"/>
    <xf numFmtId="0" fontId="0" fillId="0" borderId="13" xfId="0" applyBorder="1"/>
    <xf numFmtId="0" fontId="19" fillId="0" borderId="7" xfId="0" applyFont="1" applyBorder="1"/>
    <xf numFmtId="0" fontId="1" fillId="9" borderId="7" xfId="0" applyFont="1" applyFill="1" applyBorder="1"/>
    <xf numFmtId="0" fontId="1" fillId="9" borderId="0" xfId="0" applyFont="1" applyFill="1"/>
    <xf numFmtId="0" fontId="0" fillId="9" borderId="7" xfId="0" applyFill="1" applyBorder="1"/>
    <xf numFmtId="0" fontId="0" fillId="0" borderId="7" xfId="0" applyBorder="1"/>
    <xf numFmtId="0" fontId="0" fillId="0" borderId="9" xfId="0" applyBorder="1"/>
    <xf numFmtId="0" fontId="1" fillId="6" borderId="7" xfId="0" applyFont="1" applyFill="1" applyBorder="1"/>
    <xf numFmtId="0" fontId="0" fillId="6" borderId="7" xfId="0" applyFill="1" applyBorder="1"/>
    <xf numFmtId="0" fontId="8" fillId="0" borderId="0" xfId="0" applyFont="1"/>
    <xf numFmtId="0" fontId="1" fillId="13" borderId="7" xfId="0" applyFont="1" applyFill="1" applyBorder="1"/>
    <xf numFmtId="0" fontId="23" fillId="0" borderId="14" xfId="0" applyFont="1" applyBorder="1"/>
    <xf numFmtId="0" fontId="0" fillId="20" borderId="7" xfId="0" applyFill="1" applyBorder="1"/>
    <xf numFmtId="0" fontId="18" fillId="0" borderId="25" xfId="0" applyFont="1" applyBorder="1"/>
    <xf numFmtId="0" fontId="18" fillId="0" borderId="44" xfId="0" applyFont="1" applyBorder="1"/>
    <xf numFmtId="0" fontId="1" fillId="16" borderId="14" xfId="0" applyFont="1" applyFill="1" applyBorder="1" applyAlignment="1">
      <alignment horizontal="center" vertical="center"/>
    </xf>
    <xf numFmtId="0" fontId="21" fillId="16" borderId="14" xfId="0" applyFont="1" applyFill="1" applyBorder="1"/>
    <xf numFmtId="0" fontId="1" fillId="17" borderId="7" xfId="0" applyFont="1" applyFill="1" applyBorder="1"/>
    <xf numFmtId="0" fontId="1" fillId="14" borderId="7" xfId="0" applyFont="1" applyFill="1" applyBorder="1"/>
    <xf numFmtId="0" fontId="1" fillId="14" borderId="0" xfId="0" applyFont="1" applyFill="1"/>
    <xf numFmtId="0" fontId="0" fillId="14" borderId="7" xfId="0" applyFill="1" applyBorder="1"/>
    <xf numFmtId="0" fontId="15" fillId="17" borderId="0" xfId="0" applyFont="1" applyFill="1" applyAlignment="1">
      <alignment horizontal="right"/>
    </xf>
    <xf numFmtId="0" fontId="19" fillId="0" borderId="12" xfId="0" applyFont="1" applyBorder="1"/>
    <xf numFmtId="0" fontId="18" fillId="0" borderId="0" xfId="0" applyFont="1"/>
    <xf numFmtId="0" fontId="1" fillId="16" borderId="7" xfId="0" applyFont="1" applyFill="1" applyBorder="1"/>
    <xf numFmtId="0" fontId="0" fillId="23" borderId="0" xfId="0" applyFill="1"/>
    <xf numFmtId="0" fontId="1" fillId="5" borderId="7" xfId="0" applyFont="1" applyFill="1" applyBorder="1"/>
    <xf numFmtId="0" fontId="0" fillId="5" borderId="7" xfId="0" applyFill="1" applyBorder="1"/>
    <xf numFmtId="0" fontId="1" fillId="18" borderId="7" xfId="0" applyFont="1" applyFill="1" applyBorder="1"/>
    <xf numFmtId="0" fontId="0" fillId="18" borderId="7" xfId="0" applyFill="1" applyBorder="1"/>
    <xf numFmtId="0" fontId="25" fillId="4" borderId="0" xfId="0" applyFont="1" applyFill="1" applyAlignment="1">
      <alignment wrapText="1"/>
    </xf>
    <xf numFmtId="0" fontId="17" fillId="21" borderId="14" xfId="0" applyFont="1" applyFill="1" applyBorder="1"/>
    <xf numFmtId="0" fontId="18" fillId="21" borderId="14" xfId="0" applyFont="1" applyFill="1" applyBorder="1"/>
    <xf numFmtId="0" fontId="5" fillId="14" borderId="25" xfId="0" applyFont="1" applyFill="1" applyBorder="1"/>
    <xf numFmtId="0" fontId="17" fillId="4" borderId="0" xfId="0" applyFont="1" applyFill="1"/>
    <xf numFmtId="0" fontId="0" fillId="21" borderId="14" xfId="0" applyFill="1" applyBorder="1"/>
    <xf numFmtId="0" fontId="1" fillId="13" borderId="0" xfId="0" applyFont="1" applyFill="1"/>
    <xf numFmtId="0" fontId="18" fillId="0" borderId="39" xfId="0" applyFont="1" applyBorder="1"/>
    <xf numFmtId="0" fontId="0" fillId="0" borderId="18" xfId="0" applyBorder="1"/>
    <xf numFmtId="0" fontId="0" fillId="13" borderId="20" xfId="0" applyFill="1" applyBorder="1"/>
    <xf numFmtId="0" fontId="0" fillId="13" borderId="22" xfId="0" applyFill="1" applyBorder="1"/>
    <xf numFmtId="0" fontId="20" fillId="13" borderId="7" xfId="0" applyFont="1" applyFill="1" applyBorder="1"/>
    <xf numFmtId="0" fontId="0" fillId="0" borderId="45" xfId="0" applyBorder="1"/>
    <xf numFmtId="0" fontId="0" fillId="13" borderId="46" xfId="0" applyFill="1" applyBorder="1"/>
    <xf numFmtId="0" fontId="1" fillId="0" borderId="7" xfId="0" applyFont="1" applyBorder="1"/>
    <xf numFmtId="0" fontId="10" fillId="16" borderId="15" xfId="0" applyFont="1" applyFill="1" applyBorder="1" applyAlignment="1">
      <alignment vertical="center" wrapText="1"/>
    </xf>
    <xf numFmtId="0" fontId="10" fillId="16" borderId="0" xfId="0" applyFont="1" applyFill="1" applyAlignment="1">
      <alignment vertical="center" wrapText="1"/>
    </xf>
    <xf numFmtId="0" fontId="1" fillId="4" borderId="7" xfId="0" applyFont="1" applyFill="1" applyBorder="1"/>
    <xf numFmtId="0" fontId="0" fillId="12" borderId="48" xfId="0" applyFill="1" applyBorder="1" applyProtection="1">
      <protection locked="0"/>
    </xf>
    <xf numFmtId="0" fontId="18" fillId="18" borderId="14" xfId="0" applyFont="1" applyFill="1" applyBorder="1"/>
    <xf numFmtId="0" fontId="0" fillId="15" borderId="23" xfId="0" applyFill="1" applyBorder="1" applyProtection="1">
      <protection locked="0"/>
    </xf>
    <xf numFmtId="0" fontId="0" fillId="15" borderId="29" xfId="0" applyFill="1" applyBorder="1" applyProtection="1">
      <protection locked="0"/>
    </xf>
    <xf numFmtId="0" fontId="0" fillId="15" borderId="30" xfId="0" applyFill="1" applyBorder="1" applyProtection="1">
      <protection locked="0"/>
    </xf>
    <xf numFmtId="0" fontId="0" fillId="15" borderId="25" xfId="0" applyFill="1" applyBorder="1" applyProtection="1">
      <protection locked="0"/>
    </xf>
    <xf numFmtId="0" fontId="0" fillId="15" borderId="14" xfId="0" applyFill="1" applyBorder="1" applyProtection="1">
      <protection locked="0"/>
    </xf>
    <xf numFmtId="0" fontId="0" fillId="15" borderId="35" xfId="0" applyFill="1" applyBorder="1" applyProtection="1">
      <protection locked="0"/>
    </xf>
    <xf numFmtId="0" fontId="0" fillId="15" borderId="27" xfId="0" applyFill="1" applyBorder="1" applyProtection="1">
      <protection locked="0"/>
    </xf>
    <xf numFmtId="0" fontId="0" fillId="15" borderId="31" xfId="0" applyFill="1" applyBorder="1" applyProtection="1">
      <protection locked="0"/>
    </xf>
    <xf numFmtId="0" fontId="0" fillId="15" borderId="32" xfId="0" applyFill="1" applyBorder="1" applyProtection="1">
      <protection locked="0"/>
    </xf>
    <xf numFmtId="0" fontId="21" fillId="20" borderId="0" xfId="0" applyFont="1" applyFill="1"/>
    <xf numFmtId="0" fontId="1" fillId="9" borderId="14" xfId="0" applyFont="1" applyFill="1" applyBorder="1"/>
    <xf numFmtId="0" fontId="0" fillId="9" borderId="14" xfId="0" applyFill="1" applyBorder="1"/>
    <xf numFmtId="0" fontId="0" fillId="12" borderId="29" xfId="0" applyFill="1" applyBorder="1" applyAlignment="1" applyProtection="1">
      <alignment horizontal="center" vertical="center"/>
      <protection locked="0"/>
    </xf>
    <xf numFmtId="0" fontId="0" fillId="13" borderId="29" xfId="0" applyFill="1" applyBorder="1" applyAlignment="1" applyProtection="1">
      <alignment horizontal="center" vertical="center"/>
      <protection locked="0"/>
    </xf>
    <xf numFmtId="0" fontId="0" fillId="14" borderId="29" xfId="0" applyFill="1" applyBorder="1" applyAlignment="1" applyProtection="1">
      <alignment horizontal="center" vertical="center"/>
      <protection locked="0"/>
    </xf>
    <xf numFmtId="0" fontId="0" fillId="22" borderId="29" xfId="0" applyFill="1" applyBorder="1" applyAlignment="1" applyProtection="1">
      <alignment horizontal="center" vertical="center"/>
      <protection locked="0"/>
    </xf>
    <xf numFmtId="0" fontId="0" fillId="22" borderId="30" xfId="0" applyFill="1" applyBorder="1" applyAlignment="1" applyProtection="1">
      <alignment horizontal="center" vertical="center"/>
      <protection locked="0"/>
    </xf>
    <xf numFmtId="0" fontId="0" fillId="12" borderId="14" xfId="0" applyFill="1" applyBorder="1" applyAlignment="1" applyProtection="1">
      <alignment horizontal="center" vertical="center"/>
      <protection locked="0"/>
    </xf>
    <xf numFmtId="0" fontId="0" fillId="13" borderId="14" xfId="0" applyFill="1" applyBorder="1" applyAlignment="1" applyProtection="1">
      <alignment horizontal="center" vertical="center"/>
      <protection locked="0"/>
    </xf>
    <xf numFmtId="0" fontId="0" fillId="14" borderId="14" xfId="0" applyFill="1" applyBorder="1" applyAlignment="1" applyProtection="1">
      <alignment horizontal="center" vertical="center"/>
      <protection locked="0"/>
    </xf>
    <xf numFmtId="0" fontId="0" fillId="22" borderId="14" xfId="0" applyFill="1" applyBorder="1" applyAlignment="1" applyProtection="1">
      <alignment horizontal="center" vertical="center"/>
      <protection locked="0"/>
    </xf>
    <xf numFmtId="0" fontId="0" fillId="22" borderId="35" xfId="0" applyFill="1" applyBorder="1" applyAlignment="1" applyProtection="1">
      <alignment horizontal="center" vertical="center"/>
      <protection locked="0"/>
    </xf>
    <xf numFmtId="0" fontId="0" fillId="12" borderId="47" xfId="0" applyFill="1" applyBorder="1" applyAlignment="1" applyProtection="1">
      <alignment horizontal="center" vertical="center"/>
      <protection locked="0"/>
    </xf>
    <xf numFmtId="0" fontId="0" fillId="13" borderId="47" xfId="0" applyFill="1" applyBorder="1" applyAlignment="1" applyProtection="1">
      <alignment horizontal="center" vertical="center"/>
      <protection locked="0"/>
    </xf>
    <xf numFmtId="0" fontId="0" fillId="14" borderId="47" xfId="0" applyFill="1" applyBorder="1" applyAlignment="1" applyProtection="1">
      <alignment horizontal="center" vertical="center"/>
      <protection locked="0"/>
    </xf>
    <xf numFmtId="0" fontId="0" fillId="22" borderId="47" xfId="0" applyFill="1" applyBorder="1" applyAlignment="1" applyProtection="1">
      <alignment horizontal="center" vertical="center"/>
      <protection locked="0"/>
    </xf>
    <xf numFmtId="0" fontId="0" fillId="22" borderId="49" xfId="0" applyFill="1" applyBorder="1" applyAlignment="1" applyProtection="1">
      <alignment horizontal="center" vertical="center"/>
      <protection locked="0"/>
    </xf>
    <xf numFmtId="0" fontId="0" fillId="14" borderId="47" xfId="0" applyFill="1" applyBorder="1"/>
    <xf numFmtId="0" fontId="1" fillId="12" borderId="33" xfId="0" applyFont="1" applyFill="1" applyBorder="1" applyAlignment="1" applyProtection="1">
      <alignment horizontal="center" vertical="center"/>
      <protection locked="0"/>
    </xf>
    <xf numFmtId="0" fontId="1" fillId="13" borderId="33" xfId="0" applyFont="1" applyFill="1" applyBorder="1" applyAlignment="1" applyProtection="1">
      <alignment horizontal="center" vertical="center"/>
      <protection locked="0"/>
    </xf>
    <xf numFmtId="0" fontId="1" fillId="14" borderId="33" xfId="0" applyFont="1" applyFill="1" applyBorder="1" applyAlignment="1" applyProtection="1">
      <alignment horizontal="center" vertical="center"/>
      <protection locked="0"/>
    </xf>
    <xf numFmtId="0" fontId="1" fillId="20" borderId="1" xfId="0" applyFont="1" applyFill="1" applyBorder="1"/>
    <xf numFmtId="0" fontId="1" fillId="20" borderId="10" xfId="0" applyFont="1" applyFill="1" applyBorder="1"/>
    <xf numFmtId="0" fontId="1" fillId="22" borderId="33" xfId="0" applyFont="1" applyFill="1" applyBorder="1" applyAlignment="1" applyProtection="1">
      <alignment horizontal="center" vertical="center"/>
      <protection locked="0"/>
    </xf>
    <xf numFmtId="0" fontId="1" fillId="22" borderId="34" xfId="0" applyFont="1" applyFill="1" applyBorder="1" applyAlignment="1" applyProtection="1">
      <alignment horizontal="center" vertical="center"/>
      <protection locked="0"/>
    </xf>
    <xf numFmtId="0" fontId="20" fillId="0" borderId="14" xfId="0" applyFont="1" applyBorder="1"/>
    <xf numFmtId="0" fontId="15" fillId="0" borderId="0" xfId="0" applyFont="1"/>
    <xf numFmtId="0" fontId="18" fillId="9" borderId="0" xfId="0" applyFont="1" applyFill="1"/>
    <xf numFmtId="0" fontId="15" fillId="6" borderId="0" xfId="0" applyFont="1" applyFill="1"/>
    <xf numFmtId="0" fontId="5" fillId="24" borderId="0" xfId="0" applyFont="1" applyFill="1" applyAlignment="1">
      <alignment vertical="center" wrapText="1"/>
    </xf>
    <xf numFmtId="0" fontId="0" fillId="0" borderId="25" xfId="0" applyBorder="1"/>
    <xf numFmtId="0" fontId="1" fillId="9" borderId="25" xfId="0" applyFont="1" applyFill="1" applyBorder="1"/>
    <xf numFmtId="0" fontId="0" fillId="0" borderId="0" xfId="0" quotePrefix="1"/>
    <xf numFmtId="0" fontId="6" fillId="0" borderId="7" xfId="0" applyFont="1" applyBorder="1"/>
    <xf numFmtId="0" fontId="0" fillId="0" borderId="14" xfId="0" applyBorder="1" applyAlignment="1">
      <alignment horizontal="center"/>
    </xf>
    <xf numFmtId="0" fontId="0" fillId="5" borderId="0" xfId="0" applyFill="1" applyAlignment="1">
      <alignment horizontal="center" vertical="center"/>
    </xf>
    <xf numFmtId="9" fontId="0" fillId="5" borderId="0" xfId="0" applyNumberFormat="1" applyFill="1" applyAlignment="1">
      <alignment horizontal="center" vertical="center"/>
    </xf>
    <xf numFmtId="14" fontId="0" fillId="5" borderId="0" xfId="0" applyNumberFormat="1" applyFill="1" applyAlignment="1">
      <alignment horizontal="center" vertical="center"/>
    </xf>
    <xf numFmtId="0" fontId="18" fillId="16" borderId="29" xfId="0" applyFont="1" applyFill="1" applyBorder="1" applyAlignment="1">
      <alignment horizontal="left"/>
    </xf>
    <xf numFmtId="0" fontId="18" fillId="4" borderId="29" xfId="0" applyFont="1" applyFill="1" applyBorder="1" applyAlignment="1">
      <alignment horizontal="left"/>
    </xf>
    <xf numFmtId="0" fontId="18" fillId="16" borderId="30" xfId="0" applyFont="1" applyFill="1" applyBorder="1" applyAlignment="1">
      <alignment horizontal="left"/>
    </xf>
    <xf numFmtId="0" fontId="18" fillId="16" borderId="31" xfId="0" applyFont="1" applyFill="1" applyBorder="1" applyAlignment="1">
      <alignment horizontal="left"/>
    </xf>
    <xf numFmtId="0" fontId="18" fillId="4" borderId="31" xfId="0" applyFont="1" applyFill="1" applyBorder="1" applyAlignment="1">
      <alignment horizontal="left"/>
    </xf>
    <xf numFmtId="0" fontId="0" fillId="16" borderId="23" xfId="0" applyFill="1" applyBorder="1" applyAlignment="1">
      <alignment horizontal="left"/>
    </xf>
    <xf numFmtId="0" fontId="0" fillId="4" borderId="29" xfId="0" applyFill="1" applyBorder="1" applyAlignment="1">
      <alignment horizontal="left"/>
    </xf>
    <xf numFmtId="0" fontId="0" fillId="16" borderId="29" xfId="0" applyFill="1" applyBorder="1" applyAlignment="1">
      <alignment horizontal="left"/>
    </xf>
    <xf numFmtId="0" fontId="0" fillId="16" borderId="27" xfId="0" applyFill="1" applyBorder="1" applyAlignment="1">
      <alignment horizontal="left"/>
    </xf>
    <xf numFmtId="0" fontId="0" fillId="4" borderId="31" xfId="0" applyFill="1" applyBorder="1" applyAlignment="1">
      <alignment horizontal="left"/>
    </xf>
    <xf numFmtId="0" fontId="0" fillId="16" borderId="31" xfId="0" applyFill="1" applyBorder="1" applyAlignment="1">
      <alignment horizontal="left"/>
    </xf>
    <xf numFmtId="0" fontId="0" fillId="0" borderId="31" xfId="0" applyBorder="1" applyAlignment="1">
      <alignment horizontal="left"/>
    </xf>
    <xf numFmtId="0" fontId="6" fillId="5" borderId="0" xfId="0" applyFont="1" applyFill="1"/>
    <xf numFmtId="0" fontId="6" fillId="18" borderId="0" xfId="0" applyFont="1" applyFill="1"/>
    <xf numFmtId="0" fontId="18" fillId="0" borderId="14" xfId="0" applyFont="1" applyBorder="1" applyAlignment="1">
      <alignment horizontal="center" vertical="center"/>
    </xf>
    <xf numFmtId="0" fontId="22" fillId="0" borderId="14" xfId="0" applyFont="1" applyBorder="1" applyAlignment="1">
      <alignment horizontal="center" vertical="center"/>
    </xf>
    <xf numFmtId="0" fontId="22" fillId="14" borderId="14" xfId="0" applyFont="1" applyFill="1" applyBorder="1" applyAlignment="1">
      <alignment horizontal="center" vertical="center"/>
    </xf>
    <xf numFmtId="0" fontId="18" fillId="6" borderId="14" xfId="0" applyFont="1" applyFill="1" applyBorder="1" applyAlignment="1">
      <alignment horizontal="center" vertical="center"/>
    </xf>
    <xf numFmtId="0" fontId="4" fillId="6" borderId="0" xfId="0" applyFont="1" applyFill="1"/>
    <xf numFmtId="0" fontId="0" fillId="10" borderId="14" xfId="0" applyFill="1" applyBorder="1"/>
    <xf numFmtId="0" fontId="0" fillId="10" borderId="29" xfId="0" applyFill="1" applyBorder="1"/>
    <xf numFmtId="0" fontId="0" fillId="10" borderId="31" xfId="0" applyFill="1" applyBorder="1"/>
    <xf numFmtId="0" fontId="6" fillId="4" borderId="0" xfId="0" applyFont="1" applyFill="1"/>
    <xf numFmtId="0" fontId="5" fillId="4" borderId="0" xfId="0" applyFont="1" applyFill="1"/>
    <xf numFmtId="0" fontId="34" fillId="4" borderId="0" xfId="0" applyFont="1" applyFill="1"/>
    <xf numFmtId="0" fontId="14" fillId="4" borderId="0" xfId="0" applyFont="1" applyFill="1" applyAlignment="1">
      <alignment vertical="center" wrapText="1"/>
    </xf>
    <xf numFmtId="0" fontId="5" fillId="16" borderId="0" xfId="0" applyFont="1" applyFill="1"/>
    <xf numFmtId="0" fontId="14" fillId="16" borderId="0" xfId="0" applyFont="1" applyFill="1" applyAlignment="1">
      <alignment horizontal="center" vertical="center" wrapText="1"/>
    </xf>
    <xf numFmtId="0" fontId="5" fillId="16" borderId="0" xfId="0" applyFont="1" applyFill="1" applyAlignment="1">
      <alignment horizontal="left" vertical="center"/>
    </xf>
    <xf numFmtId="0" fontId="1" fillId="20" borderId="7" xfId="0" applyFont="1" applyFill="1" applyBorder="1"/>
    <xf numFmtId="0" fontId="35" fillId="0" borderId="14" xfId="0" applyFont="1" applyBorder="1"/>
    <xf numFmtId="0" fontId="5" fillId="5" borderId="0" xfId="0" applyFont="1" applyFill="1"/>
    <xf numFmtId="0" fontId="17" fillId="0" borderId="0" xfId="0" applyFont="1"/>
    <xf numFmtId="0" fontId="0" fillId="16" borderId="28" xfId="0" applyFill="1" applyBorder="1" applyAlignment="1">
      <alignment horizontal="left"/>
    </xf>
    <xf numFmtId="0" fontId="18" fillId="16" borderId="32" xfId="0" applyFont="1" applyFill="1" applyBorder="1" applyAlignment="1">
      <alignment horizontal="left"/>
    </xf>
    <xf numFmtId="0" fontId="0" fillId="4" borderId="27" xfId="0" applyFill="1" applyBorder="1" applyAlignment="1">
      <alignment horizontal="left"/>
    </xf>
    <xf numFmtId="0" fontId="0" fillId="4" borderId="24" xfId="0" applyFill="1" applyBorder="1" applyAlignment="1">
      <alignment horizontal="left"/>
    </xf>
    <xf numFmtId="0" fontId="18" fillId="4" borderId="30" xfId="0" applyFont="1" applyFill="1" applyBorder="1" applyAlignment="1">
      <alignment horizontal="left"/>
    </xf>
    <xf numFmtId="0" fontId="15" fillId="13" borderId="0" xfId="0" applyFont="1" applyFill="1"/>
    <xf numFmtId="0" fontId="1" fillId="0" borderId="0" xfId="0" applyFont="1" applyAlignment="1">
      <alignment vertical="center" wrapText="1"/>
    </xf>
    <xf numFmtId="0" fontId="0" fillId="0" borderId="0" xfId="0" applyAlignment="1">
      <alignment vertical="center" wrapText="1"/>
    </xf>
    <xf numFmtId="0" fontId="0" fillId="23" borderId="14" xfId="0" applyFill="1" applyBorder="1"/>
    <xf numFmtId="0" fontId="0" fillId="0" borderId="14" xfId="0" applyBorder="1" applyAlignment="1">
      <alignment vertical="center" wrapText="1"/>
    </xf>
    <xf numFmtId="0" fontId="1" fillId="0" borderId="14" xfId="0" applyFont="1" applyBorder="1" applyAlignment="1">
      <alignment vertical="center" wrapText="1"/>
    </xf>
    <xf numFmtId="0" fontId="3" fillId="2" borderId="14" xfId="0" applyFont="1" applyFill="1" applyBorder="1" applyAlignment="1">
      <alignment vertical="center" wrapText="1"/>
    </xf>
    <xf numFmtId="0" fontId="0" fillId="2" borderId="14" xfId="0" applyFill="1" applyBorder="1" applyAlignment="1">
      <alignment vertical="center" wrapText="1"/>
    </xf>
    <xf numFmtId="0" fontId="3" fillId="8" borderId="14" xfId="0" applyFont="1" applyFill="1" applyBorder="1" applyAlignment="1">
      <alignment vertical="center" wrapText="1"/>
    </xf>
    <xf numFmtId="0" fontId="0" fillId="8" borderId="14" xfId="0" applyFill="1" applyBorder="1" applyAlignment="1">
      <alignment vertical="center" wrapText="1"/>
    </xf>
    <xf numFmtId="0" fontId="0" fillId="23" borderId="14" xfId="0" applyFill="1" applyBorder="1" applyAlignment="1">
      <alignment vertical="center" wrapText="1"/>
    </xf>
    <xf numFmtId="0" fontId="3" fillId="7" borderId="14" xfId="0" applyFont="1" applyFill="1" applyBorder="1" applyAlignment="1">
      <alignment vertical="center" wrapText="1"/>
    </xf>
    <xf numFmtId="0" fontId="0" fillId="7" borderId="14" xfId="0" applyFill="1" applyBorder="1" applyAlignment="1">
      <alignment vertical="center" wrapText="1"/>
    </xf>
    <xf numFmtId="0" fontId="3" fillId="3" borderId="14" xfId="0" applyFont="1" applyFill="1" applyBorder="1" applyAlignment="1">
      <alignment vertical="center" wrapText="1"/>
    </xf>
    <xf numFmtId="0" fontId="0" fillId="3" borderId="14" xfId="0" applyFill="1" applyBorder="1" applyAlignment="1">
      <alignment vertical="center" wrapText="1"/>
    </xf>
    <xf numFmtId="0" fontId="0" fillId="24" borderId="14" xfId="0" applyFill="1" applyBorder="1" applyAlignment="1">
      <alignment vertical="center" wrapText="1"/>
    </xf>
    <xf numFmtId="0" fontId="0" fillId="12" borderId="14" xfId="0" applyFill="1" applyBorder="1" applyAlignment="1">
      <alignment vertical="center" wrapText="1"/>
    </xf>
    <xf numFmtId="0" fontId="3" fillId="11" borderId="14" xfId="0" applyFont="1" applyFill="1" applyBorder="1" applyAlignment="1">
      <alignment vertical="center" wrapText="1"/>
    </xf>
    <xf numFmtId="0" fontId="0" fillId="22" borderId="14" xfId="0" applyFill="1" applyBorder="1" applyAlignment="1">
      <alignment vertical="center" wrapText="1"/>
    </xf>
    <xf numFmtId="0" fontId="3" fillId="16" borderId="14" xfId="0" applyFont="1" applyFill="1" applyBorder="1" applyAlignment="1">
      <alignment vertical="center" wrapText="1"/>
    </xf>
    <xf numFmtId="0" fontId="0" fillId="16" borderId="14" xfId="0" applyFill="1" applyBorder="1" applyAlignment="1">
      <alignment vertical="center" wrapText="1"/>
    </xf>
    <xf numFmtId="0" fontId="3" fillId="9" borderId="14" xfId="0" applyFont="1" applyFill="1" applyBorder="1" applyAlignment="1">
      <alignment vertical="center" wrapText="1"/>
    </xf>
    <xf numFmtId="0" fontId="0" fillId="13" borderId="14" xfId="0" applyFill="1" applyBorder="1" applyAlignment="1">
      <alignment vertical="center" wrapText="1"/>
    </xf>
    <xf numFmtId="0" fontId="1" fillId="0" borderId="14" xfId="0" applyFont="1" applyBorder="1" applyAlignment="1">
      <alignment horizontal="center" vertical="center"/>
    </xf>
    <xf numFmtId="0" fontId="17" fillId="0" borderId="14" xfId="0" applyFont="1" applyBorder="1" applyAlignment="1">
      <alignment horizontal="center" vertical="center"/>
    </xf>
    <xf numFmtId="0" fontId="21" fillId="0" borderId="14" xfId="0" applyFont="1" applyBorder="1" applyAlignment="1">
      <alignment horizontal="center" vertical="center"/>
    </xf>
    <xf numFmtId="0" fontId="1" fillId="0" borderId="19" xfId="0" applyFont="1" applyBorder="1" applyAlignment="1">
      <alignment horizontal="left" vertical="center"/>
    </xf>
    <xf numFmtId="0" fontId="0" fillId="20" borderId="14" xfId="0" applyFill="1" applyBorder="1"/>
    <xf numFmtId="0" fontId="17" fillId="20" borderId="14" xfId="0" applyFont="1" applyFill="1" applyBorder="1"/>
    <xf numFmtId="0" fontId="1" fillId="20" borderId="14" xfId="0" applyFont="1" applyFill="1" applyBorder="1"/>
    <xf numFmtId="0" fontId="37" fillId="0" borderId="14" xfId="0" applyFont="1" applyBorder="1"/>
    <xf numFmtId="0" fontId="40" fillId="0" borderId="14" xfId="0" applyFont="1" applyBorder="1"/>
    <xf numFmtId="9" fontId="0" fillId="0" borderId="14" xfId="1" applyFont="1" applyBorder="1"/>
    <xf numFmtId="0" fontId="8" fillId="23" borderId="14" xfId="0" applyFont="1" applyFill="1" applyBorder="1"/>
    <xf numFmtId="0" fontId="0" fillId="23" borderId="14" xfId="0" applyFill="1" applyBorder="1" applyAlignment="1">
      <alignment horizontal="center" vertical="center"/>
    </xf>
    <xf numFmtId="0" fontId="1" fillId="14" borderId="29" xfId="0" applyFont="1" applyFill="1" applyBorder="1"/>
    <xf numFmtId="0" fontId="0" fillId="14" borderId="14" xfId="0" applyFill="1" applyBorder="1" applyAlignment="1">
      <alignment horizontal="center" vertical="center"/>
    </xf>
    <xf numFmtId="0" fontId="19" fillId="5" borderId="0" xfId="0" applyFont="1" applyFill="1"/>
    <xf numFmtId="0" fontId="1" fillId="14" borderId="31" xfId="0" applyFont="1" applyFill="1" applyBorder="1"/>
    <xf numFmtId="0" fontId="19" fillId="5" borderId="0" xfId="0" quotePrefix="1" applyFont="1" applyFill="1"/>
    <xf numFmtId="0" fontId="41" fillId="0" borderId="14" xfId="0" applyFont="1" applyBorder="1" applyAlignment="1">
      <alignment vertical="center" wrapText="1"/>
    </xf>
    <xf numFmtId="0" fontId="1" fillId="22" borderId="7" xfId="0" applyFont="1" applyFill="1" applyBorder="1"/>
    <xf numFmtId="0" fontId="1" fillId="22" borderId="0" xfId="0" applyFont="1" applyFill="1"/>
    <xf numFmtId="0" fontId="0" fillId="22" borderId="7" xfId="0" applyFill="1" applyBorder="1"/>
    <xf numFmtId="0" fontId="1" fillId="0" borderId="8" xfId="0" applyFont="1" applyBorder="1"/>
    <xf numFmtId="0" fontId="1" fillId="0" borderId="3" xfId="0" applyFont="1" applyBorder="1"/>
    <xf numFmtId="0" fontId="1" fillId="0" borderId="2" xfId="0" applyFont="1" applyBorder="1"/>
    <xf numFmtId="0" fontId="1" fillId="0" borderId="11" xfId="0" applyFont="1" applyBorder="1"/>
    <xf numFmtId="0" fontId="1" fillId="0" borderId="12" xfId="0" applyFont="1" applyBorder="1"/>
    <xf numFmtId="0" fontId="1" fillId="0" borderId="13" xfId="0" applyFont="1" applyBorder="1"/>
    <xf numFmtId="0" fontId="1" fillId="0" borderId="9" xfId="0" applyFont="1" applyBorder="1"/>
    <xf numFmtId="0" fontId="1" fillId="25" borderId="0" xfId="0" applyFont="1" applyFill="1"/>
    <xf numFmtId="0" fontId="0" fillId="25" borderId="7" xfId="0" applyFill="1" applyBorder="1"/>
    <xf numFmtId="0" fontId="0" fillId="0" borderId="14" xfId="0" applyBorder="1" applyAlignment="1">
      <alignment vertical="center"/>
    </xf>
    <xf numFmtId="0" fontId="0" fillId="0" borderId="14" xfId="0" applyBorder="1" applyAlignment="1">
      <alignment wrapText="1"/>
    </xf>
    <xf numFmtId="0" fontId="29" fillId="0" borderId="0" xfId="0" applyFont="1"/>
    <xf numFmtId="0" fontId="0" fillId="9" borderId="11" xfId="0" applyFill="1" applyBorder="1"/>
    <xf numFmtId="0" fontId="0" fillId="9" borderId="12" xfId="0" applyFill="1" applyBorder="1"/>
    <xf numFmtId="0" fontId="0" fillId="9" borderId="13" xfId="0" applyFill="1" applyBorder="1"/>
    <xf numFmtId="0" fontId="0" fillId="9" borderId="8" xfId="0" applyFill="1" applyBorder="1"/>
    <xf numFmtId="0" fontId="0" fillId="9" borderId="2" xfId="0" applyFill="1" applyBorder="1"/>
    <xf numFmtId="0" fontId="0" fillId="9" borderId="9" xfId="0" applyFill="1" applyBorder="1"/>
    <xf numFmtId="0" fontId="0" fillId="9" borderId="3" xfId="0" applyFill="1" applyBorder="1"/>
    <xf numFmtId="0" fontId="18" fillId="0" borderId="14" xfId="0" applyFont="1" applyBorder="1" applyAlignment="1">
      <alignment horizontal="center"/>
    </xf>
    <xf numFmtId="0" fontId="0" fillId="26" borderId="14" xfId="0" applyFill="1" applyBorder="1" applyAlignment="1">
      <alignment horizontal="center"/>
    </xf>
    <xf numFmtId="0" fontId="18" fillId="26" borderId="14" xfId="0" applyFont="1" applyFill="1" applyBorder="1"/>
    <xf numFmtId="0" fontId="8" fillId="10" borderId="0" xfId="0" applyFont="1" applyFill="1"/>
    <xf numFmtId="0" fontId="20" fillId="5" borderId="50" xfId="0" applyFont="1" applyFill="1" applyBorder="1" applyAlignment="1">
      <alignment horizontal="left"/>
    </xf>
    <xf numFmtId="0" fontId="33" fillId="5" borderId="40" xfId="0" applyFont="1" applyFill="1" applyBorder="1" applyAlignment="1">
      <alignment horizontal="left"/>
    </xf>
    <xf numFmtId="0" fontId="0" fillId="17" borderId="40" xfId="0" applyFill="1" applyBorder="1" applyAlignment="1">
      <alignment horizontal="left"/>
    </xf>
    <xf numFmtId="0" fontId="18" fillId="17" borderId="40" xfId="0" applyFont="1" applyFill="1" applyBorder="1" applyAlignment="1">
      <alignment horizontal="left"/>
    </xf>
    <xf numFmtId="0" fontId="0" fillId="6" borderId="40" xfId="0" applyFill="1" applyBorder="1" applyAlignment="1">
      <alignment horizontal="left"/>
    </xf>
    <xf numFmtId="0" fontId="18" fillId="6" borderId="51" xfId="0" applyFont="1" applyFill="1" applyBorder="1" applyAlignment="1">
      <alignment horizontal="left"/>
    </xf>
    <xf numFmtId="0" fontId="0" fillId="5" borderId="27" xfId="0" applyFill="1" applyBorder="1" applyAlignment="1">
      <alignment horizontal="left"/>
    </xf>
    <xf numFmtId="0" fontId="18" fillId="5" borderId="31" xfId="0" applyFont="1" applyFill="1" applyBorder="1" applyAlignment="1">
      <alignment horizontal="left"/>
    </xf>
    <xf numFmtId="0" fontId="0" fillId="17" borderId="31" xfId="0" applyFill="1" applyBorder="1" applyAlignment="1">
      <alignment horizontal="left"/>
    </xf>
    <xf numFmtId="0" fontId="18" fillId="17" borderId="31" xfId="0" applyFont="1" applyFill="1" applyBorder="1" applyAlignment="1">
      <alignment horizontal="left"/>
    </xf>
    <xf numFmtId="0" fontId="0" fillId="6" borderId="31" xfId="0" applyFill="1" applyBorder="1" applyAlignment="1">
      <alignment horizontal="left"/>
    </xf>
    <xf numFmtId="0" fontId="18" fillId="6" borderId="32" xfId="0" applyFont="1" applyFill="1" applyBorder="1" applyAlignment="1">
      <alignment horizontal="left"/>
    </xf>
    <xf numFmtId="0" fontId="1" fillId="27" borderId="7" xfId="0" applyFont="1" applyFill="1" applyBorder="1"/>
    <xf numFmtId="0" fontId="0" fillId="27" borderId="8" xfId="0" applyFill="1" applyBorder="1"/>
    <xf numFmtId="0" fontId="1" fillId="14" borderId="14" xfId="0" applyFont="1" applyFill="1" applyBorder="1"/>
    <xf numFmtId="0" fontId="0" fillId="0" borderId="35" xfId="0" applyBorder="1"/>
    <xf numFmtId="0" fontId="0" fillId="0" borderId="14" xfId="0" applyBorder="1" applyAlignment="1">
      <alignment horizontal="left" vertical="center"/>
    </xf>
    <xf numFmtId="0" fontId="0" fillId="27" borderId="0" xfId="0" applyFill="1"/>
    <xf numFmtId="0" fontId="0" fillId="28" borderId="0" xfId="0" applyFill="1"/>
    <xf numFmtId="0" fontId="0" fillId="28" borderId="8" xfId="0" applyFill="1" applyBorder="1"/>
    <xf numFmtId="0" fontId="0" fillId="0" borderId="20" xfId="0" applyBorder="1"/>
    <xf numFmtId="0" fontId="0" fillId="0" borderId="22" xfId="0" applyBorder="1"/>
    <xf numFmtId="0" fontId="4" fillId="0" borderId="0" xfId="0" applyFont="1"/>
    <xf numFmtId="0" fontId="0" fillId="0" borderId="11" xfId="0" applyBorder="1"/>
    <xf numFmtId="0" fontId="0" fillId="0" borderId="14" xfId="0" applyBorder="1" applyAlignment="1">
      <alignment horizontal="left" vertical="center" wrapText="1"/>
    </xf>
    <xf numFmtId="0" fontId="0" fillId="0" borderId="0" xfId="0" applyAlignment="1">
      <alignment horizontal="left" vertical="center"/>
    </xf>
    <xf numFmtId="0" fontId="0" fillId="5" borderId="0" xfId="0" applyFill="1" applyAlignment="1">
      <alignment wrapText="1"/>
    </xf>
    <xf numFmtId="0" fontId="1" fillId="14" borderId="14" xfId="0" applyFont="1" applyFill="1" applyBorder="1" applyAlignment="1">
      <alignment horizontal="center"/>
    </xf>
    <xf numFmtId="0" fontId="0" fillId="5" borderId="0" xfId="0" applyFill="1" applyAlignment="1">
      <alignment horizontal="center"/>
    </xf>
    <xf numFmtId="0" fontId="18" fillId="5" borderId="0" xfId="0" applyFont="1" applyFill="1"/>
    <xf numFmtId="0" fontId="1" fillId="10" borderId="7" xfId="0" applyFont="1" applyFill="1" applyBorder="1"/>
    <xf numFmtId="0" fontId="1" fillId="10" borderId="0" xfId="0" applyFont="1" applyFill="1"/>
    <xf numFmtId="0" fontId="1" fillId="26" borderId="7" xfId="0" applyFont="1" applyFill="1" applyBorder="1"/>
    <xf numFmtId="0" fontId="0" fillId="26" borderId="0" xfId="0" applyFill="1"/>
    <xf numFmtId="0" fontId="1" fillId="26" borderId="0" xfId="0" applyFont="1" applyFill="1"/>
    <xf numFmtId="0" fontId="1" fillId="28" borderId="7" xfId="0" applyFont="1" applyFill="1" applyBorder="1"/>
    <xf numFmtId="14" fontId="0" fillId="0" borderId="14" xfId="0" applyNumberFormat="1" applyBorder="1" applyAlignment="1">
      <alignment horizontal="center"/>
    </xf>
    <xf numFmtId="0" fontId="19" fillId="6" borderId="0" xfId="0" applyFont="1" applyFill="1"/>
    <xf numFmtId="0" fontId="1" fillId="14" borderId="31" xfId="0" applyFont="1" applyFill="1" applyBorder="1" applyAlignment="1">
      <alignment horizontal="left" vertical="center"/>
    </xf>
    <xf numFmtId="0" fontId="0" fillId="16" borderId="0" xfId="0" applyFill="1" applyAlignment="1">
      <alignment horizontal="left"/>
    </xf>
    <xf numFmtId="0" fontId="43" fillId="16" borderId="0" xfId="0" applyFont="1" applyFill="1"/>
    <xf numFmtId="0" fontId="0" fillId="0" borderId="14" xfId="0" applyBorder="1" applyProtection="1">
      <protection locked="0"/>
    </xf>
    <xf numFmtId="0" fontId="0" fillId="0" borderId="29" xfId="0" applyBorder="1" applyProtection="1">
      <protection locked="0"/>
    </xf>
    <xf numFmtId="0" fontId="0" fillId="0" borderId="30" xfId="0" applyBorder="1" applyProtection="1">
      <protection locked="0"/>
    </xf>
    <xf numFmtId="0" fontId="0" fillId="0" borderId="35" xfId="0" applyBorder="1" applyProtection="1">
      <protection locked="0"/>
    </xf>
    <xf numFmtId="0" fontId="0" fillId="0" borderId="31" xfId="0" applyBorder="1" applyProtection="1">
      <protection locked="0"/>
    </xf>
    <xf numFmtId="0" fontId="0" fillId="0" borderId="32" xfId="0" applyBorder="1" applyProtection="1">
      <protection locked="0"/>
    </xf>
    <xf numFmtId="0" fontId="1" fillId="0" borderId="17" xfId="0" applyFont="1" applyBorder="1" applyAlignment="1">
      <alignment vertical="center"/>
    </xf>
    <xf numFmtId="0" fontId="0" fillId="0" borderId="15" xfId="0" applyBorder="1"/>
    <xf numFmtId="0" fontId="0" fillId="0" borderId="19" xfId="0" applyBorder="1" applyAlignment="1">
      <alignment vertical="center"/>
    </xf>
    <xf numFmtId="0" fontId="0" fillId="0" borderId="21" xfId="0" applyBorder="1" applyAlignment="1">
      <alignment vertical="center"/>
    </xf>
    <xf numFmtId="0" fontId="0" fillId="0" borderId="16" xfId="0" applyBorder="1"/>
    <xf numFmtId="0" fontId="17" fillId="0" borderId="47" xfId="0" applyFont="1" applyBorder="1" applyAlignment="1">
      <alignment horizontal="center"/>
    </xf>
    <xf numFmtId="0" fontId="0" fillId="0" borderId="56" xfId="0" applyBorder="1"/>
    <xf numFmtId="0" fontId="18" fillId="14" borderId="14" xfId="0" applyFont="1" applyFill="1" applyBorder="1"/>
    <xf numFmtId="0" fontId="1" fillId="23" borderId="7" xfId="0" applyFont="1" applyFill="1" applyBorder="1"/>
    <xf numFmtId="0" fontId="0" fillId="0" borderId="0" xfId="0" applyProtection="1">
      <protection locked="0"/>
    </xf>
    <xf numFmtId="0" fontId="12" fillId="0" borderId="0" xfId="0" applyFont="1" applyProtection="1">
      <protection locked="0"/>
    </xf>
    <xf numFmtId="0" fontId="0" fillId="0" borderId="14" xfId="0" applyBorder="1" applyAlignment="1" applyProtection="1">
      <alignment horizontal="right" vertical="top"/>
      <protection locked="0"/>
    </xf>
    <xf numFmtId="0" fontId="0" fillId="13" borderId="13" xfId="0" applyFill="1" applyBorder="1" applyProtection="1">
      <protection locked="0"/>
    </xf>
    <xf numFmtId="0" fontId="19" fillId="16" borderId="7" xfId="0" applyFont="1" applyFill="1" applyBorder="1" applyAlignment="1" applyProtection="1">
      <alignment horizontal="center" vertical="center"/>
      <protection locked="0"/>
    </xf>
    <xf numFmtId="0" fontId="19" fillId="16" borderId="0" xfId="0" applyFont="1" applyFill="1" applyAlignment="1" applyProtection="1">
      <alignment horizontal="center" vertical="center"/>
      <protection locked="0"/>
    </xf>
    <xf numFmtId="0" fontId="19" fillId="16" borderId="8" xfId="0" applyFont="1" applyFill="1" applyBorder="1" applyAlignment="1" applyProtection="1">
      <alignment horizontal="center" vertical="center"/>
      <protection locked="0"/>
    </xf>
    <xf numFmtId="0" fontId="19" fillId="4" borderId="7" xfId="0" applyFont="1" applyFill="1" applyBorder="1" applyAlignment="1" applyProtection="1">
      <alignment horizontal="center" vertical="center"/>
      <protection locked="0"/>
    </xf>
    <xf numFmtId="0" fontId="19" fillId="4" borderId="0" xfId="0" applyFont="1" applyFill="1" applyAlignment="1" applyProtection="1">
      <alignment horizontal="center" vertical="center"/>
      <protection locked="0"/>
    </xf>
    <xf numFmtId="0" fontId="19" fillId="4" borderId="8" xfId="0" applyFont="1" applyFill="1" applyBorder="1" applyAlignment="1" applyProtection="1">
      <alignment horizontal="center" vertical="center"/>
      <protection locked="0"/>
    </xf>
    <xf numFmtId="0" fontId="19" fillId="13" borderId="7" xfId="0" applyFont="1" applyFill="1" applyBorder="1" applyAlignment="1" applyProtection="1">
      <alignment horizontal="center" vertical="center"/>
      <protection locked="0"/>
    </xf>
    <xf numFmtId="0" fontId="19" fillId="13" borderId="0" xfId="0" applyFont="1" applyFill="1" applyAlignment="1" applyProtection="1">
      <alignment horizontal="center" vertical="center"/>
      <protection locked="0"/>
    </xf>
    <xf numFmtId="0" fontId="0" fillId="13" borderId="8" xfId="0" applyFill="1" applyBorder="1" applyProtection="1">
      <protection locked="0"/>
    </xf>
    <xf numFmtId="0" fontId="0" fillId="16" borderId="7" xfId="0" applyFill="1" applyBorder="1" applyProtection="1">
      <protection locked="0"/>
    </xf>
    <xf numFmtId="0" fontId="0" fillId="16" borderId="0" xfId="0" applyFill="1" applyProtection="1">
      <protection locked="0"/>
    </xf>
    <xf numFmtId="0" fontId="0" fillId="16" borderId="8" xfId="0" applyFill="1" applyBorder="1" applyProtection="1">
      <protection locked="0"/>
    </xf>
    <xf numFmtId="0" fontId="0" fillId="4" borderId="7" xfId="0" applyFill="1" applyBorder="1" applyProtection="1">
      <protection locked="0"/>
    </xf>
    <xf numFmtId="0" fontId="0" fillId="4" borderId="0" xfId="0" applyFill="1" applyProtection="1">
      <protection locked="0"/>
    </xf>
    <xf numFmtId="0" fontId="0" fillId="4" borderId="8" xfId="0" applyFill="1" applyBorder="1" applyProtection="1">
      <protection locked="0"/>
    </xf>
    <xf numFmtId="0" fontId="0" fillId="13" borderId="7" xfId="0" applyFill="1" applyBorder="1" applyProtection="1">
      <protection locked="0"/>
    </xf>
    <xf numFmtId="0" fontId="0" fillId="16" borderId="19" xfId="0" applyFill="1" applyBorder="1" applyProtection="1">
      <protection locked="0"/>
    </xf>
    <xf numFmtId="0" fontId="47" fillId="16" borderId="19" xfId="0" applyFont="1" applyFill="1" applyBorder="1" applyAlignment="1" applyProtection="1">
      <alignment vertical="center" wrapText="1"/>
      <protection locked="0"/>
    </xf>
    <xf numFmtId="0" fontId="47" fillId="16" borderId="0" xfId="0" applyFont="1" applyFill="1" applyAlignment="1" applyProtection="1">
      <alignment vertical="center" wrapText="1"/>
      <protection locked="0"/>
    </xf>
    <xf numFmtId="0" fontId="47" fillId="16" borderId="8" xfId="0" applyFont="1" applyFill="1" applyBorder="1" applyAlignment="1" applyProtection="1">
      <alignment vertical="center" wrapText="1"/>
      <protection locked="0"/>
    </xf>
    <xf numFmtId="0" fontId="26" fillId="4" borderId="7" xfId="0" applyFont="1" applyFill="1" applyBorder="1" applyAlignment="1" applyProtection="1">
      <alignment horizontal="left" vertical="center"/>
      <protection locked="0"/>
    </xf>
    <xf numFmtId="0" fontId="26" fillId="4" borderId="0" xfId="0" applyFont="1" applyFill="1" applyAlignment="1" applyProtection="1">
      <alignment horizontal="left" vertical="center"/>
      <protection locked="0"/>
    </xf>
    <xf numFmtId="0" fontId="0" fillId="4" borderId="26" xfId="0" applyFill="1" applyBorder="1" applyProtection="1">
      <protection locked="0"/>
    </xf>
    <xf numFmtId="0" fontId="17" fillId="4" borderId="39" xfId="0" applyFont="1" applyFill="1" applyBorder="1" applyProtection="1">
      <protection locked="0"/>
    </xf>
    <xf numFmtId="0" fontId="25" fillId="4" borderId="7" xfId="0" applyFont="1" applyFill="1" applyBorder="1" applyProtection="1">
      <protection locked="0"/>
    </xf>
    <xf numFmtId="0" fontId="25" fillId="4" borderId="0" xfId="0" applyFont="1" applyFill="1" applyProtection="1">
      <protection locked="0"/>
    </xf>
    <xf numFmtId="0" fontId="0" fillId="16" borderId="9" xfId="0" applyFill="1" applyBorder="1" applyProtection="1">
      <protection locked="0"/>
    </xf>
    <xf numFmtId="0" fontId="0" fillId="16" borderId="3" xfId="0" applyFill="1" applyBorder="1" applyProtection="1">
      <protection locked="0"/>
    </xf>
    <xf numFmtId="0" fontId="0" fillId="16" borderId="2" xfId="0" applyFill="1" applyBorder="1" applyProtection="1">
      <protection locked="0"/>
    </xf>
    <xf numFmtId="0" fontId="6" fillId="16" borderId="11" xfId="0" applyFont="1" applyFill="1" applyBorder="1" applyProtection="1">
      <protection locked="0"/>
    </xf>
    <xf numFmtId="0" fontId="5" fillId="16" borderId="12" xfId="0" applyFont="1" applyFill="1" applyBorder="1" applyProtection="1">
      <protection locked="0"/>
    </xf>
    <xf numFmtId="0" fontId="5" fillId="16" borderId="13" xfId="0" applyFont="1" applyFill="1" applyBorder="1" applyProtection="1">
      <protection locked="0"/>
    </xf>
    <xf numFmtId="0" fontId="0" fillId="4" borderId="9" xfId="0" applyFill="1" applyBorder="1" applyProtection="1">
      <protection locked="0"/>
    </xf>
    <xf numFmtId="0" fontId="0" fillId="4" borderId="3" xfId="0" applyFill="1" applyBorder="1" applyProtection="1">
      <protection locked="0"/>
    </xf>
    <xf numFmtId="0" fontId="0" fillId="4" borderId="2" xfId="0" applyFill="1" applyBorder="1" applyProtection="1">
      <protection locked="0"/>
    </xf>
    <xf numFmtId="0" fontId="0" fillId="13" borderId="9" xfId="0" applyFill="1" applyBorder="1" applyProtection="1">
      <protection locked="0"/>
    </xf>
    <xf numFmtId="0" fontId="0" fillId="13" borderId="3" xfId="0" applyFill="1" applyBorder="1" applyProtection="1">
      <protection locked="0"/>
    </xf>
    <xf numFmtId="0" fontId="0" fillId="13" borderId="2" xfId="0" applyFill="1" applyBorder="1" applyProtection="1">
      <protection locked="0"/>
    </xf>
    <xf numFmtId="164" fontId="0" fillId="0" borderId="14" xfId="0" applyNumberFormat="1" applyBorder="1" applyAlignment="1" applyProtection="1">
      <alignment horizontal="center" vertical="center"/>
      <protection locked="0"/>
    </xf>
    <xf numFmtId="164" fontId="29" fillId="0" borderId="0" xfId="0" quotePrefix="1" applyNumberFormat="1" applyFont="1" applyProtection="1">
      <protection locked="0"/>
    </xf>
    <xf numFmtId="0" fontId="0" fillId="29" borderId="62" xfId="0" applyFill="1" applyBorder="1" applyAlignment="1" applyProtection="1">
      <alignment horizontal="center"/>
      <protection locked="0"/>
    </xf>
    <xf numFmtId="0" fontId="0" fillId="29" borderId="39" xfId="0" applyFill="1" applyBorder="1" applyAlignment="1" applyProtection="1">
      <alignment horizontal="center"/>
      <protection locked="0"/>
    </xf>
    <xf numFmtId="0" fontId="0" fillId="29" borderId="22" xfId="0" applyFill="1" applyBorder="1" applyAlignment="1" applyProtection="1">
      <alignment horizontal="center"/>
      <protection locked="0"/>
    </xf>
    <xf numFmtId="0" fontId="0" fillId="29" borderId="53" xfId="0" applyFill="1" applyBorder="1" applyAlignment="1" applyProtection="1">
      <alignment horizontal="center"/>
      <protection locked="0"/>
    </xf>
    <xf numFmtId="0" fontId="29" fillId="0" borderId="0" xfId="0" quotePrefix="1" applyFont="1" applyProtection="1">
      <protection locked="0"/>
    </xf>
    <xf numFmtId="0" fontId="0" fillId="0" borderId="0" xfId="0" applyAlignment="1" applyProtection="1">
      <alignment vertical="top" wrapText="1"/>
      <protection locked="0"/>
    </xf>
    <xf numFmtId="0" fontId="0" fillId="21" borderId="11" xfId="0" applyFill="1" applyBorder="1"/>
    <xf numFmtId="0" fontId="0" fillId="21" borderId="12" xfId="0" applyFill="1" applyBorder="1"/>
    <xf numFmtId="0" fontId="46" fillId="21" borderId="13" xfId="0" applyFont="1" applyFill="1" applyBorder="1" applyAlignment="1">
      <alignment horizontal="right"/>
    </xf>
    <xf numFmtId="0" fontId="4" fillId="21" borderId="7" xfId="0" applyFont="1" applyFill="1" applyBorder="1" applyAlignment="1">
      <alignment horizontal="right" vertical="center"/>
    </xf>
    <xf numFmtId="0" fontId="19" fillId="21" borderId="0" xfId="0" applyFont="1" applyFill="1" applyAlignment="1">
      <alignment horizontal="right" vertical="center"/>
    </xf>
    <xf numFmtId="0" fontId="1" fillId="21" borderId="7" xfId="0" applyFont="1" applyFill="1" applyBorder="1"/>
    <xf numFmtId="0" fontId="0" fillId="21" borderId="0" xfId="0" applyFill="1"/>
    <xf numFmtId="0" fontId="0" fillId="21" borderId="7" xfId="0" applyFill="1" applyBorder="1"/>
    <xf numFmtId="0" fontId="1" fillId="21" borderId="0" xfId="0" applyFont="1" applyFill="1"/>
    <xf numFmtId="0" fontId="0" fillId="21" borderId="3" xfId="0" applyFill="1" applyBorder="1"/>
    <xf numFmtId="0" fontId="0" fillId="21" borderId="9" xfId="0" applyFill="1" applyBorder="1"/>
    <xf numFmtId="0" fontId="0" fillId="21" borderId="2" xfId="0" applyFill="1" applyBorder="1"/>
    <xf numFmtId="0" fontId="0" fillId="21" borderId="8" xfId="0" applyFill="1" applyBorder="1"/>
    <xf numFmtId="0" fontId="12" fillId="21" borderId="8" xfId="0" applyFont="1" applyFill="1" applyBorder="1"/>
    <xf numFmtId="0" fontId="17" fillId="21" borderId="0" xfId="0" applyFont="1" applyFill="1" applyAlignment="1">
      <alignment horizontal="left" vertical="center"/>
    </xf>
    <xf numFmtId="0" fontId="15" fillId="4" borderId="0" xfId="0" applyFont="1" applyFill="1"/>
    <xf numFmtId="0" fontId="0" fillId="0" borderId="4" xfId="0" applyBorder="1"/>
    <xf numFmtId="164" fontId="0" fillId="15" borderId="52" xfId="0" applyNumberFormat="1" applyFill="1" applyBorder="1" applyAlignment="1">
      <alignment horizontal="left"/>
    </xf>
    <xf numFmtId="164" fontId="0" fillId="15" borderId="39" xfId="0" applyNumberFormat="1" applyFill="1" applyBorder="1" applyAlignment="1">
      <alignment horizontal="left"/>
    </xf>
    <xf numFmtId="0" fontId="0" fillId="0" borderId="27" xfId="0" applyBorder="1"/>
    <xf numFmtId="164" fontId="0" fillId="15" borderId="53" xfId="0" applyNumberFormat="1" applyFill="1" applyBorder="1" applyAlignment="1">
      <alignment horizontal="left"/>
    </xf>
    <xf numFmtId="0" fontId="1" fillId="14" borderId="54" xfId="0" applyFont="1" applyFill="1" applyBorder="1"/>
    <xf numFmtId="0" fontId="19" fillId="14" borderId="41" xfId="0" applyFont="1" applyFill="1" applyBorder="1"/>
    <xf numFmtId="0" fontId="0" fillId="14" borderId="54" xfId="0" applyFill="1" applyBorder="1"/>
    <xf numFmtId="0" fontId="0" fillId="14" borderId="12" xfId="0" applyFill="1" applyBorder="1" applyAlignment="1">
      <alignment vertical="top"/>
    </xf>
    <xf numFmtId="0" fontId="0" fillId="14" borderId="13" xfId="0" applyFill="1" applyBorder="1" applyAlignment="1">
      <alignment vertical="top"/>
    </xf>
    <xf numFmtId="0" fontId="15" fillId="5" borderId="0" xfId="0" applyFont="1" applyFill="1" applyAlignment="1">
      <alignment horizontal="center" vertical="center" wrapText="1"/>
    </xf>
    <xf numFmtId="0" fontId="1" fillId="5" borderId="0" xfId="0" applyFont="1" applyFill="1" applyAlignment="1">
      <alignment horizontal="right"/>
    </xf>
    <xf numFmtId="0" fontId="1" fillId="14" borderId="14" xfId="0" applyFont="1" applyFill="1" applyBorder="1" applyAlignment="1">
      <alignment horizontal="right"/>
    </xf>
    <xf numFmtId="0" fontId="15" fillId="16" borderId="0" xfId="0" applyFont="1" applyFill="1" applyAlignment="1">
      <alignment horizontal="center" vertical="center" wrapText="1"/>
    </xf>
    <xf numFmtId="0" fontId="1" fillId="14" borderId="14" xfId="0" applyFont="1" applyFill="1" applyBorder="1" applyAlignment="1">
      <alignment horizontal="left"/>
    </xf>
    <xf numFmtId="0" fontId="0" fillId="4" borderId="0" xfId="0" applyFill="1" applyAlignment="1">
      <alignment horizontal="center" vertical="center"/>
    </xf>
    <xf numFmtId="9" fontId="0" fillId="4" borderId="0" xfId="0" applyNumberFormat="1" applyFill="1" applyAlignment="1">
      <alignment horizontal="center" vertical="center"/>
    </xf>
    <xf numFmtId="14" fontId="0" fillId="4" borderId="0" xfId="0" applyNumberFormat="1" applyFill="1" applyAlignment="1">
      <alignment horizontal="center" vertical="center"/>
    </xf>
    <xf numFmtId="0" fontId="5" fillId="4" borderId="0" xfId="0" applyFont="1" applyFill="1" applyAlignment="1">
      <alignment horizontal="right"/>
      <extLst>
        <ext xmlns:xfpb="http://schemas.microsoft.com/office/spreadsheetml/2022/featurepropertybag" uri="{C7286773-470A-42A8-94C5-96B5CB345126}">
          <xfpb:xfComplement i="0"/>
        </ext>
      </extLst>
    </xf>
    <xf numFmtId="0" fontId="5" fillId="4" borderId="0" xfId="0" applyFont="1" applyFill="1" applyAlignment="1">
      <alignment horizontal="right"/>
    </xf>
    <xf numFmtId="14" fontId="21" fillId="14" borderId="14" xfId="0" applyNumberFormat="1" applyFont="1" applyFill="1" applyBorder="1" applyAlignment="1">
      <alignment horizontal="left" vertical="center"/>
    </xf>
    <xf numFmtId="14" fontId="1" fillId="14" borderId="14" xfId="0" applyNumberFormat="1" applyFont="1" applyFill="1" applyBorder="1" applyAlignment="1">
      <alignment horizontal="left" vertical="center"/>
    </xf>
    <xf numFmtId="2" fontId="0" fillId="0" borderId="14" xfId="0" applyNumberFormat="1" applyBorder="1" applyProtection="1">
      <protection locked="0"/>
    </xf>
    <xf numFmtId="165" fontId="0" fillId="0" borderId="14" xfId="0" applyNumberFormat="1" applyBorder="1" applyProtection="1">
      <protection locked="0"/>
    </xf>
    <xf numFmtId="0" fontId="15" fillId="4" borderId="0" xfId="0" applyFont="1" applyFill="1" applyAlignment="1">
      <alignment horizontal="left" vertical="center"/>
    </xf>
    <xf numFmtId="0" fontId="0" fillId="0" borderId="46" xfId="0" applyBorder="1"/>
    <xf numFmtId="0" fontId="8" fillId="0" borderId="16" xfId="0" applyFont="1" applyBorder="1"/>
    <xf numFmtId="0" fontId="8" fillId="0" borderId="57" xfId="0" applyFont="1" applyBorder="1"/>
    <xf numFmtId="0" fontId="25" fillId="16" borderId="0" xfId="0" applyFont="1" applyFill="1" applyAlignment="1">
      <alignment horizontal="center" vertical="center" wrapText="1"/>
    </xf>
    <xf numFmtId="0" fontId="5" fillId="4" borderId="0" xfId="0" applyFont="1" applyFill="1" applyAlignment="1">
      <alignment horizontal="right" vertical="top"/>
      <extLst>
        <ext xmlns:xfpb="http://schemas.microsoft.com/office/spreadsheetml/2022/featurepropertybag" uri="{C7286773-470A-42A8-94C5-96B5CB345126}">
          <xfpb:xfComplement i="0"/>
        </ext>
      </extLst>
    </xf>
    <xf numFmtId="0" fontId="5" fillId="4" borderId="0" xfId="0" applyFont="1" applyFill="1" applyAlignment="1">
      <alignment horizontal="right" vertical="top"/>
    </xf>
    <xf numFmtId="14" fontId="0" fillId="0" borderId="14" xfId="0" applyNumberFormat="1" applyBorder="1" applyProtection="1">
      <protection locked="0"/>
    </xf>
    <xf numFmtId="0" fontId="1" fillId="5" borderId="0" xfId="0" applyFont="1" applyFill="1" applyAlignment="1">
      <alignment horizontal="center" vertical="center" wrapText="1"/>
    </xf>
    <xf numFmtId="0" fontId="0" fillId="0" borderId="57" xfId="0" applyBorder="1"/>
    <xf numFmtId="0" fontId="50" fillId="14" borderId="14" xfId="0" applyFont="1" applyFill="1" applyBorder="1"/>
    <xf numFmtId="0" fontId="6" fillId="16" borderId="0" xfId="0" applyFont="1" applyFill="1" applyAlignment="1">
      <alignment horizontal="left" vertical="center"/>
    </xf>
    <xf numFmtId="0" fontId="5" fillId="16" borderId="0" xfId="0" applyFont="1" applyFill="1" applyAlignment="1">
      <alignment horizontal="center" vertical="center"/>
    </xf>
    <xf numFmtId="0" fontId="15" fillId="16" borderId="0" xfId="0" applyFont="1" applyFill="1" applyAlignment="1">
      <alignment horizontal="left" vertical="center" wrapText="1"/>
    </xf>
    <xf numFmtId="0" fontId="5" fillId="16" borderId="0" xfId="0" applyFont="1" applyFill="1" applyAlignment="1">
      <alignment horizontal="right" vertical="top"/>
      <extLst>
        <ext xmlns:xfpb="http://schemas.microsoft.com/office/spreadsheetml/2022/featurepropertybag" uri="{C7286773-470A-42A8-94C5-96B5CB345126}">
          <xfpb:xfComplement i="0"/>
        </ext>
      </extLst>
    </xf>
    <xf numFmtId="0" fontId="5" fillId="16" borderId="0" xfId="0" applyFont="1" applyFill="1" applyAlignment="1">
      <alignment horizontal="right" vertical="top"/>
    </xf>
    <xf numFmtId="0" fontId="15" fillId="16" borderId="0" xfId="0" applyFont="1" applyFill="1" applyAlignment="1">
      <alignment horizontal="left" vertical="center"/>
    </xf>
    <xf numFmtId="0" fontId="5" fillId="16" borderId="0" xfId="0" applyFont="1" applyFill="1" applyAlignment="1">
      <alignment vertical="center"/>
    </xf>
    <xf numFmtId="0" fontId="0" fillId="0" borderId="14" xfId="0" applyBorder="1" applyProtection="1">
      <protection locked="0"/>
      <extLst>
        <ext xmlns:xfpb="http://schemas.microsoft.com/office/spreadsheetml/2022/featurepropertybag" uri="{C7286773-470A-42A8-94C5-96B5CB345126}">
          <xfpb:xfComplement i="0"/>
        </ext>
      </extLst>
    </xf>
    <xf numFmtId="0" fontId="0" fillId="16" borderId="0" xfId="0" applyFill="1" applyAlignment="1">
      <alignment horizontal="center" vertical="center" wrapText="1"/>
      <extLst>
        <ext xmlns:xfpb="http://schemas.microsoft.com/office/spreadsheetml/2022/featurepropertybag" uri="{C7286773-470A-42A8-94C5-96B5CB345126}">
          <xfpb:xfComplement i="0"/>
        </ext>
      </extLst>
    </xf>
    <xf numFmtId="9" fontId="0" fillId="0" borderId="14" xfId="0" applyNumberFormat="1" applyBorder="1" applyAlignment="1">
      <alignment horizontal="center"/>
    </xf>
    <xf numFmtId="0" fontId="6" fillId="10" borderId="14" xfId="0" applyFont="1" applyFill="1" applyBorder="1"/>
    <xf numFmtId="0" fontId="5" fillId="12" borderId="0" xfId="0" applyFont="1" applyFill="1" applyProtection="1">
      <protection locked="0"/>
    </xf>
    <xf numFmtId="14" fontId="5" fillId="0" borderId="14" xfId="0" applyNumberFormat="1" applyFont="1" applyBorder="1" applyProtection="1">
      <protection locked="0"/>
    </xf>
    <xf numFmtId="165" fontId="5" fillId="0" borderId="14" xfId="0" applyNumberFormat="1" applyFont="1" applyBorder="1" applyProtection="1">
      <protection locked="0"/>
    </xf>
    <xf numFmtId="0" fontId="15" fillId="20" borderId="0" xfId="0" applyFont="1" applyFill="1"/>
    <xf numFmtId="0" fontId="22" fillId="0" borderId="25" xfId="0" applyFont="1" applyBorder="1"/>
    <xf numFmtId="0" fontId="18" fillId="0" borderId="7" xfId="0" applyFont="1" applyBorder="1"/>
    <xf numFmtId="0" fontId="22" fillId="0" borderId="7" xfId="0" applyFont="1" applyBorder="1"/>
    <xf numFmtId="0" fontId="52" fillId="14" borderId="14" xfId="0" applyFont="1" applyFill="1" applyBorder="1"/>
    <xf numFmtId="0" fontId="0" fillId="4" borderId="0" xfId="0" applyFill="1" applyAlignment="1">
      <alignment horizontal="right"/>
      <extLst>
        <ext xmlns:xfpb="http://schemas.microsoft.com/office/spreadsheetml/2022/featurepropertybag" uri="{C7286773-470A-42A8-94C5-96B5CB345126}">
          <xfpb:xfComplement i="0"/>
        </ext>
      </extLst>
    </xf>
    <xf numFmtId="0" fontId="20" fillId="23" borderId="14" xfId="0" applyFont="1" applyFill="1" applyBorder="1" applyAlignment="1">
      <alignment vertical="center" wrapText="1"/>
    </xf>
    <xf numFmtId="0" fontId="26" fillId="4" borderId="0" xfId="0" applyFont="1" applyFill="1" applyAlignment="1">
      <alignment vertical="center" wrapText="1"/>
    </xf>
    <xf numFmtId="0" fontId="26" fillId="23" borderId="0" xfId="0" applyFont="1" applyFill="1" applyAlignment="1">
      <alignment vertical="center" wrapText="1"/>
    </xf>
    <xf numFmtId="0" fontId="54" fillId="5" borderId="0" xfId="0" applyFont="1" applyFill="1" applyAlignment="1">
      <alignment horizontal="left" vertical="center" indent="1"/>
    </xf>
    <xf numFmtId="0" fontId="55" fillId="0" borderId="14" xfId="0" applyFont="1" applyBorder="1" applyAlignment="1">
      <alignment horizontal="left" vertical="center"/>
    </xf>
    <xf numFmtId="0" fontId="42" fillId="16" borderId="0" xfId="0" applyFont="1" applyFill="1" applyAlignment="1">
      <alignment vertical="center" wrapText="1"/>
    </xf>
    <xf numFmtId="0" fontId="1" fillId="16" borderId="0" xfId="0" applyFont="1" applyFill="1" applyAlignment="1">
      <alignment vertical="center" wrapText="1"/>
    </xf>
    <xf numFmtId="0" fontId="0" fillId="16" borderId="0" xfId="0" applyFill="1" applyAlignment="1">
      <alignment horizontal="right"/>
      <extLst>
        <ext xmlns:xfpb="http://schemas.microsoft.com/office/spreadsheetml/2022/featurepropertybag" uri="{C7286773-470A-42A8-94C5-96B5CB345126}">
          <xfpb:xfComplement i="0"/>
        </ext>
      </extLst>
    </xf>
    <xf numFmtId="0" fontId="0" fillId="16" borderId="0" xfId="0" applyFill="1" applyAlignment="1">
      <alignment horizontal="left" vertical="center" wrapText="1"/>
    </xf>
    <xf numFmtId="0" fontId="0" fillId="6" borderId="0" xfId="0" applyFill="1" applyAlignment="1">
      <alignment horizontal="right"/>
      <extLst>
        <ext xmlns:xfpb="http://schemas.microsoft.com/office/spreadsheetml/2022/featurepropertybag" uri="{C7286773-470A-42A8-94C5-96B5CB345126}">
          <xfpb:xfComplement i="0"/>
        </ext>
      </extLst>
    </xf>
    <xf numFmtId="0" fontId="0" fillId="6" borderId="0" xfId="0" applyFill="1" applyAlignment="1">
      <alignment horizontal="right"/>
    </xf>
    <xf numFmtId="0" fontId="30" fillId="6" borderId="0" xfId="0" applyFont="1" applyFill="1"/>
    <xf numFmtId="0" fontId="56" fillId="0" borderId="14" xfId="0" applyFont="1" applyBorder="1" applyAlignment="1">
      <alignment vertical="center" wrapText="1"/>
    </xf>
    <xf numFmtId="0" fontId="0" fillId="0" borderId="17" xfId="0" applyBorder="1" applyAlignment="1">
      <alignment horizontal="left"/>
    </xf>
    <xf numFmtId="0" fontId="0" fillId="0" borderId="15"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0" xfId="0"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16" xfId="0" applyBorder="1" applyAlignment="1">
      <alignment horizontal="left"/>
    </xf>
    <xf numFmtId="0" fontId="0" fillId="0" borderId="22" xfId="0" applyBorder="1" applyAlignment="1">
      <alignment horizontal="left"/>
    </xf>
    <xf numFmtId="0" fontId="25" fillId="6" borderId="0" xfId="0" applyFont="1" applyFill="1" applyAlignment="1">
      <alignment horizontal="center" vertical="center" wrapText="1"/>
    </xf>
    <xf numFmtId="0" fontId="0" fillId="14" borderId="23" xfId="0" applyFill="1" applyBorder="1" applyAlignment="1">
      <alignment horizontal="center" wrapText="1"/>
    </xf>
    <xf numFmtId="0" fontId="0" fillId="14" borderId="29" xfId="0" applyFill="1" applyBorder="1" applyAlignment="1">
      <alignment horizontal="center" wrapText="1"/>
    </xf>
    <xf numFmtId="0" fontId="0" fillId="14" borderId="25" xfId="0" applyFill="1" applyBorder="1" applyAlignment="1">
      <alignment horizontal="center" wrapText="1"/>
    </xf>
    <xf numFmtId="0" fontId="0" fillId="14" borderId="14" xfId="0" applyFill="1" applyBorder="1" applyAlignment="1">
      <alignment horizontal="center" wrapText="1"/>
    </xf>
    <xf numFmtId="0" fontId="0" fillId="14" borderId="27" xfId="0" applyFill="1" applyBorder="1" applyAlignment="1">
      <alignment horizontal="center" wrapText="1"/>
    </xf>
    <xf numFmtId="0" fontId="0" fillId="14" borderId="31" xfId="0" applyFill="1" applyBorder="1" applyAlignment="1">
      <alignment horizontal="center" wrapText="1"/>
    </xf>
    <xf numFmtId="0" fontId="0" fillId="0" borderId="17" xfId="0" applyBorder="1" applyAlignment="1" applyProtection="1">
      <alignment horizontal="left"/>
      <protection locked="0"/>
    </xf>
    <xf numFmtId="0" fontId="0" fillId="0" borderId="15" xfId="0" applyBorder="1" applyAlignment="1" applyProtection="1">
      <alignment horizontal="left"/>
      <protection locked="0"/>
    </xf>
    <xf numFmtId="0" fontId="0" fillId="0" borderId="18" xfId="0" applyBorder="1" applyAlignment="1" applyProtection="1">
      <alignment horizontal="left"/>
      <protection locked="0"/>
    </xf>
    <xf numFmtId="0" fontId="0" fillId="0" borderId="19" xfId="0" applyBorder="1" applyAlignment="1" applyProtection="1">
      <alignment horizontal="left"/>
      <protection locked="0"/>
    </xf>
    <xf numFmtId="0" fontId="0" fillId="0" borderId="0" xfId="0" applyAlignment="1" applyProtection="1">
      <alignment horizontal="left"/>
      <protection locked="0"/>
    </xf>
    <xf numFmtId="0" fontId="0" fillId="0" borderId="20" xfId="0" applyBorder="1" applyAlignment="1" applyProtection="1">
      <alignment horizontal="left"/>
      <protection locked="0"/>
    </xf>
    <xf numFmtId="0" fontId="0" fillId="0" borderId="21" xfId="0" applyBorder="1" applyAlignment="1" applyProtection="1">
      <alignment horizontal="left"/>
      <protection locked="0"/>
    </xf>
    <xf numFmtId="0" fontId="0" fillId="0" borderId="16" xfId="0" applyBorder="1" applyAlignment="1" applyProtection="1">
      <alignment horizontal="left"/>
      <protection locked="0"/>
    </xf>
    <xf numFmtId="0" fontId="0" fillId="0" borderId="22" xfId="0" applyBorder="1" applyAlignment="1" applyProtection="1">
      <alignment horizontal="left"/>
      <protection locked="0"/>
    </xf>
    <xf numFmtId="0" fontId="28" fillId="16" borderId="0" xfId="0" applyFont="1" applyFill="1" applyAlignment="1">
      <alignment horizontal="center" vertical="center" wrapText="1"/>
    </xf>
    <xf numFmtId="0" fontId="0" fillId="14" borderId="23" xfId="0" applyFill="1" applyBorder="1" applyAlignment="1">
      <alignment horizontal="left"/>
    </xf>
    <xf numFmtId="0" fontId="0" fillId="14" borderId="29" xfId="0" applyFill="1" applyBorder="1" applyAlignment="1">
      <alignment horizontal="left"/>
    </xf>
    <xf numFmtId="0" fontId="0" fillId="14" borderId="27" xfId="0" applyFill="1" applyBorder="1" applyAlignment="1">
      <alignment horizontal="left"/>
    </xf>
    <xf numFmtId="0" fontId="0" fillId="14" borderId="31" xfId="0" applyFill="1" applyBorder="1" applyAlignment="1">
      <alignment horizontal="left"/>
    </xf>
    <xf numFmtId="0" fontId="0" fillId="4" borderId="12" xfId="0" applyFill="1" applyBorder="1" applyAlignment="1">
      <alignment horizontal="left" vertical="top" wrapText="1"/>
    </xf>
    <xf numFmtId="0" fontId="0" fillId="4" borderId="0" xfId="0" applyFill="1" applyAlignment="1">
      <alignment horizontal="left" vertical="top" wrapText="1"/>
    </xf>
    <xf numFmtId="0" fontId="25" fillId="4" borderId="0" xfId="0" applyFont="1" applyFill="1" applyAlignment="1">
      <alignment horizontal="center" vertical="center" wrapText="1"/>
    </xf>
    <xf numFmtId="0" fontId="15" fillId="4" borderId="0" xfId="0" applyFont="1" applyFill="1" applyAlignment="1">
      <alignment horizontal="center" vertical="center" wrapText="1"/>
    </xf>
    <xf numFmtId="0" fontId="25" fillId="4" borderId="8" xfId="0" applyFont="1" applyFill="1" applyBorder="1" applyAlignment="1">
      <alignment horizontal="center" vertical="center" wrapText="1"/>
    </xf>
    <xf numFmtId="0" fontId="0" fillId="14" borderId="11" xfId="0" applyFill="1" applyBorder="1" applyAlignment="1">
      <alignment horizontal="right" vertical="center"/>
    </xf>
    <xf numFmtId="0" fontId="0" fillId="14" borderId="12" xfId="0" applyFill="1" applyBorder="1" applyAlignment="1">
      <alignment horizontal="right" vertical="center"/>
    </xf>
    <xf numFmtId="0" fontId="0" fillId="14" borderId="9" xfId="0" applyFill="1" applyBorder="1" applyAlignment="1">
      <alignment horizontal="right" vertical="center"/>
    </xf>
    <xf numFmtId="0" fontId="0" fillId="14" borderId="3" xfId="0" applyFill="1" applyBorder="1" applyAlignment="1">
      <alignment horizontal="right" vertical="center"/>
    </xf>
    <xf numFmtId="0" fontId="0" fillId="10" borderId="23" xfId="0" applyFill="1" applyBorder="1" applyAlignment="1">
      <alignment horizontal="center" vertical="center" wrapText="1"/>
    </xf>
    <xf numFmtId="0" fontId="0" fillId="10" borderId="29" xfId="0" applyFill="1" applyBorder="1" applyAlignment="1">
      <alignment horizontal="center" vertical="center" wrapText="1"/>
    </xf>
    <xf numFmtId="0" fontId="0" fillId="10" borderId="25" xfId="0" applyFill="1" applyBorder="1" applyAlignment="1">
      <alignment horizontal="center" vertical="center" wrapText="1"/>
    </xf>
    <xf numFmtId="0" fontId="0" fillId="10" borderId="14"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31" xfId="0" applyFill="1" applyBorder="1" applyAlignment="1">
      <alignment horizontal="center" vertical="center" wrapText="1"/>
    </xf>
    <xf numFmtId="0" fontId="25" fillId="18" borderId="0" xfId="0" applyFont="1" applyFill="1" applyAlignment="1">
      <alignment horizontal="center" vertical="center" wrapText="1"/>
    </xf>
    <xf numFmtId="0" fontId="14" fillId="16" borderId="0" xfId="0" applyFont="1" applyFill="1" applyAlignment="1">
      <alignment horizontal="center" vertical="center" wrapText="1"/>
    </xf>
    <xf numFmtId="0" fontId="14" fillId="6" borderId="15" xfId="0" applyFont="1" applyFill="1" applyBorder="1" applyAlignment="1">
      <alignment horizontal="center" vertical="center" wrapText="1"/>
    </xf>
    <xf numFmtId="0" fontId="14" fillId="6" borderId="0" xfId="0" applyFont="1" applyFill="1" applyAlignment="1">
      <alignment horizontal="center" vertical="center" wrapText="1"/>
    </xf>
    <xf numFmtId="0" fontId="14" fillId="18" borderId="0" xfId="0" applyFont="1" applyFill="1" applyAlignment="1">
      <alignment horizontal="center" vertical="center" wrapText="1"/>
    </xf>
    <xf numFmtId="0" fontId="0" fillId="0" borderId="0" xfId="0" applyAlignment="1">
      <alignment horizontal="left" wrapText="1"/>
    </xf>
    <xf numFmtId="0" fontId="0" fillId="14" borderId="23" xfId="0" applyFill="1" applyBorder="1" applyAlignment="1">
      <alignment horizontal="center" vertical="center" wrapText="1"/>
    </xf>
    <xf numFmtId="0" fontId="0" fillId="14" borderId="29" xfId="0" applyFill="1" applyBorder="1" applyAlignment="1">
      <alignment horizontal="center" vertical="center" wrapText="1"/>
    </xf>
    <xf numFmtId="0" fontId="0" fillId="14" borderId="25" xfId="0" applyFill="1" applyBorder="1" applyAlignment="1">
      <alignment horizontal="center" vertical="center" wrapText="1"/>
    </xf>
    <xf numFmtId="0" fontId="0" fillId="14" borderId="14" xfId="0" applyFill="1" applyBorder="1" applyAlignment="1">
      <alignment horizontal="center" vertical="center" wrapText="1"/>
    </xf>
    <xf numFmtId="0" fontId="0" fillId="14" borderId="27" xfId="0" applyFill="1" applyBorder="1" applyAlignment="1">
      <alignment horizontal="center" vertical="center" wrapText="1"/>
    </xf>
    <xf numFmtId="0" fontId="0" fillId="14" borderId="31" xfId="0" applyFill="1" applyBorder="1" applyAlignment="1">
      <alignment horizontal="center" vertical="center" wrapText="1"/>
    </xf>
    <xf numFmtId="0" fontId="15" fillId="4" borderId="8"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4" borderId="0" xfId="0" applyFont="1" applyFill="1" applyAlignment="1">
      <alignment horizontal="center" vertical="center" wrapText="1"/>
    </xf>
    <xf numFmtId="0" fontId="15" fillId="5" borderId="0" xfId="0" applyFont="1" applyFill="1" applyAlignment="1">
      <alignment horizontal="center" vertical="center" wrapText="1"/>
    </xf>
    <xf numFmtId="0" fontId="15" fillId="16" borderId="0" xfId="0" applyFont="1" applyFill="1" applyAlignment="1">
      <alignment horizontal="center" vertical="center" wrapText="1"/>
    </xf>
    <xf numFmtId="0" fontId="1" fillId="14" borderId="14" xfId="0" applyFont="1" applyFill="1" applyBorder="1" applyAlignment="1">
      <alignment horizontal="center" vertical="center" wrapText="1"/>
    </xf>
    <xf numFmtId="0" fontId="15" fillId="5" borderId="20" xfId="0" applyFont="1" applyFill="1" applyBorder="1" applyAlignment="1">
      <alignment horizontal="center" vertical="center" wrapText="1"/>
    </xf>
    <xf numFmtId="0" fontId="15" fillId="16" borderId="20" xfId="0" applyFont="1" applyFill="1" applyBorder="1" applyAlignment="1">
      <alignment horizontal="center" vertical="center" wrapText="1"/>
    </xf>
    <xf numFmtId="0" fontId="15" fillId="4" borderId="0" xfId="0" applyFont="1" applyFill="1" applyAlignment="1">
      <alignment horizontal="center" wrapText="1"/>
    </xf>
    <xf numFmtId="0" fontId="15" fillId="4" borderId="8" xfId="0" applyFont="1" applyFill="1" applyBorder="1" applyAlignment="1">
      <alignment horizontal="center" wrapText="1"/>
    </xf>
    <xf numFmtId="0" fontId="0" fillId="14" borderId="24" xfId="0" applyFill="1" applyBorder="1" applyAlignment="1">
      <alignment horizontal="left"/>
    </xf>
    <xf numFmtId="0" fontId="0" fillId="14" borderId="28" xfId="0" applyFill="1" applyBorder="1" applyAlignment="1">
      <alignment horizontal="left"/>
    </xf>
    <xf numFmtId="0" fontId="0" fillId="4" borderId="0" xfId="0" applyFill="1" applyAlignment="1">
      <alignment horizontal="center" vertical="top" wrapText="1"/>
    </xf>
    <xf numFmtId="0" fontId="0" fillId="4" borderId="16" xfId="0" applyFill="1" applyBorder="1" applyAlignment="1">
      <alignment horizontal="center" vertical="top" wrapText="1"/>
    </xf>
    <xf numFmtId="0" fontId="0" fillId="14" borderId="25" xfId="0" applyFill="1" applyBorder="1" applyAlignment="1">
      <alignment horizontal="left"/>
    </xf>
    <xf numFmtId="0" fontId="0" fillId="14" borderId="14" xfId="0" applyFill="1" applyBorder="1" applyAlignment="1">
      <alignment horizontal="left"/>
    </xf>
    <xf numFmtId="0" fontId="25" fillId="4" borderId="20" xfId="0" applyFont="1" applyFill="1" applyBorder="1" applyAlignment="1">
      <alignment horizontal="center" vertical="center" wrapText="1"/>
    </xf>
    <xf numFmtId="0" fontId="5" fillId="4" borderId="17" xfId="0" applyFont="1" applyFill="1" applyBorder="1" applyAlignment="1">
      <alignment horizontal="left" vertical="top" wrapText="1"/>
    </xf>
    <xf numFmtId="0" fontId="5" fillId="4" borderId="15" xfId="0" applyFont="1" applyFill="1" applyBorder="1" applyAlignment="1">
      <alignment horizontal="left" vertical="top" wrapText="1"/>
    </xf>
    <xf numFmtId="0" fontId="5" fillId="4" borderId="18" xfId="0" applyFont="1" applyFill="1" applyBorder="1" applyAlignment="1">
      <alignment horizontal="left" vertical="top" wrapText="1"/>
    </xf>
    <xf numFmtId="0" fontId="5" fillId="4" borderId="21" xfId="0" applyFont="1" applyFill="1" applyBorder="1" applyAlignment="1">
      <alignment horizontal="left" vertical="top" wrapText="1"/>
    </xf>
    <xf numFmtId="0" fontId="5" fillId="4" borderId="16" xfId="0" applyFont="1" applyFill="1" applyBorder="1" applyAlignment="1">
      <alignment horizontal="left" vertical="top" wrapText="1"/>
    </xf>
    <xf numFmtId="0" fontId="5" fillId="4" borderId="22" xfId="0" applyFont="1" applyFill="1" applyBorder="1" applyAlignment="1">
      <alignment horizontal="left" vertical="top" wrapText="1"/>
    </xf>
    <xf numFmtId="0" fontId="15" fillId="4" borderId="20" xfId="0" applyFont="1" applyFill="1" applyBorder="1" applyAlignment="1">
      <alignment horizontal="center" vertical="center" wrapText="1"/>
    </xf>
    <xf numFmtId="0" fontId="15" fillId="16" borderId="16" xfId="0" applyFont="1" applyFill="1" applyBorder="1" applyAlignment="1">
      <alignment horizontal="center" vertical="center" wrapText="1"/>
    </xf>
    <xf numFmtId="0" fontId="15" fillId="16" borderId="8" xfId="0" applyFont="1" applyFill="1" applyBorder="1" applyAlignment="1">
      <alignment horizontal="center" vertical="center" wrapText="1"/>
    </xf>
    <xf numFmtId="0" fontId="5" fillId="16" borderId="25" xfId="0" applyFont="1" applyFill="1" applyBorder="1" applyAlignment="1">
      <alignment horizontal="left" vertical="top" wrapText="1"/>
    </xf>
    <xf numFmtId="0" fontId="5" fillId="16" borderId="14" xfId="0" applyFont="1" applyFill="1" applyBorder="1" applyAlignment="1">
      <alignment horizontal="left" vertical="top" wrapText="1"/>
    </xf>
    <xf numFmtId="0" fontId="5" fillId="16" borderId="35" xfId="0" applyFont="1" applyFill="1" applyBorder="1" applyAlignment="1">
      <alignment horizontal="left" vertical="top" wrapText="1"/>
    </xf>
    <xf numFmtId="0" fontId="35" fillId="16" borderId="25" xfId="0" applyFont="1" applyFill="1" applyBorder="1" applyAlignment="1">
      <alignment horizontal="left" vertical="top" wrapText="1"/>
    </xf>
    <xf numFmtId="0" fontId="35" fillId="16" borderId="14" xfId="0" applyFont="1" applyFill="1" applyBorder="1" applyAlignment="1">
      <alignment horizontal="left" vertical="top" wrapText="1"/>
    </xf>
    <xf numFmtId="0" fontId="35" fillId="16" borderId="35" xfId="0" applyFont="1" applyFill="1" applyBorder="1" applyAlignment="1">
      <alignment horizontal="left" vertical="top" wrapText="1"/>
    </xf>
    <xf numFmtId="0" fontId="35" fillId="16" borderId="27" xfId="0" applyFont="1" applyFill="1" applyBorder="1" applyAlignment="1">
      <alignment horizontal="left" vertical="top" wrapText="1"/>
    </xf>
    <xf numFmtId="0" fontId="35" fillId="16" borderId="31" xfId="0" applyFont="1" applyFill="1" applyBorder="1" applyAlignment="1">
      <alignment horizontal="left" vertical="top" wrapText="1"/>
    </xf>
    <xf numFmtId="0" fontId="35" fillId="16" borderId="32" xfId="0" applyFont="1" applyFill="1" applyBorder="1" applyAlignment="1">
      <alignment horizontal="left" vertical="top" wrapText="1"/>
    </xf>
    <xf numFmtId="0" fontId="0" fillId="0" borderId="14" xfId="0" applyBorder="1" applyAlignment="1" applyProtection="1">
      <alignment horizontal="left"/>
      <protection locked="0"/>
    </xf>
    <xf numFmtId="0" fontId="0" fillId="0" borderId="17" xfId="0"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0" fontId="0" fillId="0" borderId="18" xfId="0" applyBorder="1"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14" xfId="0" applyBorder="1" applyAlignment="1" applyProtection="1">
      <alignment horizontal="left" vertical="top"/>
      <protection locked="0"/>
    </xf>
    <xf numFmtId="0" fontId="0" fillId="0" borderId="9"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19" fillId="14" borderId="41" xfId="0" applyFont="1" applyFill="1" applyBorder="1" applyAlignment="1" applyProtection="1">
      <alignment horizontal="left" vertical="top"/>
      <protection locked="0"/>
    </xf>
    <xf numFmtId="0" fontId="19" fillId="14" borderId="54" xfId="0" applyFont="1" applyFill="1" applyBorder="1" applyAlignment="1" applyProtection="1">
      <alignment horizontal="left" vertical="top"/>
      <protection locked="0"/>
    </xf>
    <xf numFmtId="0" fontId="19" fillId="14" borderId="55" xfId="0" applyFont="1" applyFill="1" applyBorder="1" applyAlignment="1" applyProtection="1">
      <alignment horizontal="left" vertical="top"/>
      <protection locked="0"/>
    </xf>
    <xf numFmtId="0" fontId="0" fillId="0" borderId="58" xfId="0" applyBorder="1" applyAlignment="1">
      <alignment horizontal="left"/>
    </xf>
    <xf numFmtId="0" fontId="0" fillId="0" borderId="39" xfId="0" applyBorder="1" applyAlignment="1">
      <alignment horizontal="left"/>
    </xf>
    <xf numFmtId="0" fontId="0" fillId="0" borderId="7" xfId="0" applyBorder="1" applyAlignment="1" applyProtection="1">
      <alignment horizontal="left" vertical="center"/>
      <protection locked="0"/>
    </xf>
    <xf numFmtId="0" fontId="0" fillId="0" borderId="0" xfId="0" applyAlignment="1" applyProtection="1">
      <alignment horizontal="left" vertical="center"/>
      <protection locked="0"/>
    </xf>
    <xf numFmtId="0" fontId="0" fillId="0" borderId="8" xfId="0" applyBorder="1" applyAlignment="1" applyProtection="1">
      <alignment horizontal="left" vertical="center"/>
      <protection locked="0"/>
    </xf>
    <xf numFmtId="0" fontId="0" fillId="15" borderId="62" xfId="0" applyFill="1" applyBorder="1" applyAlignment="1">
      <alignment horizontal="right"/>
    </xf>
    <xf numFmtId="0" fontId="0" fillId="15" borderId="12" xfId="0" applyFill="1" applyBorder="1" applyAlignment="1">
      <alignment horizontal="right"/>
    </xf>
    <xf numFmtId="0" fontId="0" fillId="0" borderId="42" xfId="0" applyBorder="1" applyAlignment="1" applyProtection="1">
      <alignment horizontal="center"/>
      <protection locked="0"/>
    </xf>
    <xf numFmtId="0" fontId="0" fillId="0" borderId="58" xfId="0" applyBorder="1" applyAlignment="1" applyProtection="1">
      <alignment horizontal="center"/>
      <protection locked="0"/>
    </xf>
    <xf numFmtId="0" fontId="1" fillId="14" borderId="17" xfId="0" applyFont="1" applyFill="1" applyBorder="1" applyAlignment="1">
      <alignment horizontal="center" vertical="center"/>
    </xf>
    <xf numFmtId="0" fontId="1" fillId="14" borderId="15" xfId="0" applyFont="1" applyFill="1" applyBorder="1" applyAlignment="1">
      <alignment horizontal="center" vertical="center"/>
    </xf>
    <xf numFmtId="0" fontId="1" fillId="14" borderId="60" xfId="0" applyFont="1" applyFill="1" applyBorder="1" applyAlignment="1">
      <alignment horizontal="center" vertical="center"/>
    </xf>
    <xf numFmtId="0" fontId="1" fillId="14" borderId="61" xfId="0" applyFont="1" applyFill="1" applyBorder="1" applyAlignment="1">
      <alignment horizontal="center" vertical="center"/>
    </xf>
    <xf numFmtId="0" fontId="1" fillId="14" borderId="3" xfId="0" applyFont="1" applyFill="1" applyBorder="1" applyAlignment="1">
      <alignment horizontal="center" vertical="center"/>
    </xf>
    <xf numFmtId="0" fontId="1" fillId="14" borderId="2" xfId="0" applyFont="1" applyFill="1" applyBorder="1" applyAlignment="1">
      <alignment horizontal="center" vertical="center"/>
    </xf>
    <xf numFmtId="0" fontId="0" fillId="0" borderId="43" xfId="0" applyBorder="1" applyAlignment="1" applyProtection="1">
      <alignment horizontal="center"/>
      <protection locked="0"/>
    </xf>
    <xf numFmtId="0" fontId="0" fillId="0" borderId="59" xfId="0" applyBorder="1" applyAlignment="1" applyProtection="1">
      <alignment horizontal="center"/>
      <protection locked="0"/>
    </xf>
    <xf numFmtId="0" fontId="25" fillId="0" borderId="15" xfId="0" applyFont="1" applyBorder="1" applyAlignment="1">
      <alignment horizontal="right"/>
    </xf>
    <xf numFmtId="0" fontId="0" fillId="15" borderId="14" xfId="0" applyFill="1" applyBorder="1" applyAlignment="1">
      <alignment horizontal="right"/>
    </xf>
    <xf numFmtId="0" fontId="0" fillId="15" borderId="26" xfId="0" applyFill="1" applyBorder="1" applyAlignment="1">
      <alignment horizontal="right"/>
    </xf>
    <xf numFmtId="0" fontId="0" fillId="0" borderId="35" xfId="0" applyBorder="1" applyAlignment="1" applyProtection="1">
      <alignment horizontal="left" vertical="top"/>
      <protection locked="0"/>
    </xf>
    <xf numFmtId="0" fontId="0" fillId="0" borderId="29" xfId="0" applyBorder="1" applyAlignment="1" applyProtection="1">
      <alignment horizontal="left" vertical="top"/>
      <protection locked="0"/>
    </xf>
    <xf numFmtId="0" fontId="0" fillId="0" borderId="30" xfId="0" applyBorder="1" applyAlignment="1" applyProtection="1">
      <alignment horizontal="left" vertical="top"/>
      <protection locked="0"/>
    </xf>
    <xf numFmtId="0" fontId="0" fillId="15" borderId="31" xfId="0" applyFill="1" applyBorder="1" applyAlignment="1">
      <alignment horizontal="right"/>
    </xf>
    <xf numFmtId="0" fontId="0" fillId="15" borderId="28" xfId="0" applyFill="1" applyBorder="1" applyAlignment="1">
      <alignment horizontal="right"/>
    </xf>
    <xf numFmtId="0" fontId="0" fillId="0" borderId="31" xfId="0" applyBorder="1" applyAlignment="1" applyProtection="1">
      <alignment horizontal="left" vertical="top"/>
      <protection locked="0"/>
    </xf>
    <xf numFmtId="0" fontId="0" fillId="0" borderId="32" xfId="0" applyBorder="1" applyAlignment="1" applyProtection="1">
      <alignment horizontal="left" vertical="top"/>
      <protection locked="0"/>
    </xf>
    <xf numFmtId="0" fontId="19" fillId="14" borderId="41" xfId="0" applyFont="1" applyFill="1" applyBorder="1" applyAlignment="1">
      <alignment vertical="top"/>
    </xf>
    <xf numFmtId="0" fontId="19" fillId="14" borderId="54" xfId="0" applyFont="1" applyFill="1" applyBorder="1" applyAlignment="1">
      <alignment vertical="top"/>
    </xf>
    <xf numFmtId="0" fontId="19" fillId="14" borderId="55" xfId="0" applyFont="1" applyFill="1" applyBorder="1" applyAlignment="1">
      <alignment vertical="top"/>
    </xf>
    <xf numFmtId="0" fontId="0" fillId="0" borderId="7"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8" xfId="0" applyBorder="1" applyAlignment="1" applyProtection="1">
      <alignment horizontal="left" vertical="top"/>
      <protection locked="0"/>
    </xf>
    <xf numFmtId="0" fontId="19" fillId="13" borderId="11" xfId="0" applyFont="1" applyFill="1" applyBorder="1" applyAlignment="1">
      <alignment horizontal="center" vertical="center"/>
    </xf>
    <xf numFmtId="0" fontId="19" fillId="13" borderId="12" xfId="0" applyFont="1" applyFill="1" applyBorder="1" applyAlignment="1">
      <alignment horizontal="center" vertical="center"/>
    </xf>
    <xf numFmtId="0" fontId="12" fillId="0" borderId="26" xfId="0" applyFont="1" applyBorder="1" applyAlignment="1" applyProtection="1">
      <alignment horizontal="right"/>
      <protection locked="0"/>
    </xf>
    <xf numFmtId="0" fontId="12" fillId="0" borderId="39" xfId="0" applyFont="1" applyBorder="1" applyAlignment="1" applyProtection="1">
      <alignment horizontal="right"/>
      <protection locked="0"/>
    </xf>
    <xf numFmtId="0" fontId="15" fillId="21" borderId="7" xfId="0" applyFont="1" applyFill="1" applyBorder="1" applyAlignment="1">
      <alignment horizontal="center"/>
    </xf>
    <xf numFmtId="0" fontId="15" fillId="21" borderId="0" xfId="0" applyFont="1" applyFill="1" applyAlignment="1">
      <alignment horizontal="center"/>
    </xf>
    <xf numFmtId="0" fontId="15" fillId="21" borderId="8" xfId="0" applyFont="1" applyFill="1" applyBorder="1" applyAlignment="1">
      <alignment horizontal="center"/>
    </xf>
    <xf numFmtId="0" fontId="17" fillId="0" borderId="9" xfId="0" applyFont="1" applyBorder="1" applyAlignment="1" applyProtection="1">
      <alignment horizontal="right" vertical="top"/>
      <protection locked="0"/>
    </xf>
    <xf numFmtId="0" fontId="17" fillId="0" borderId="3" xfId="0" applyFont="1" applyBorder="1" applyAlignment="1" applyProtection="1">
      <alignment horizontal="right" vertical="top"/>
      <protection locked="0"/>
    </xf>
    <xf numFmtId="0" fontId="17" fillId="0" borderId="2" xfId="0" applyFont="1" applyBorder="1" applyAlignment="1" applyProtection="1">
      <alignment horizontal="right" vertical="top"/>
      <protection locked="0"/>
    </xf>
    <xf numFmtId="0" fontId="0" fillId="0" borderId="26" xfId="0" applyBorder="1" applyAlignment="1" applyProtection="1">
      <alignment horizontal="center" vertical="top"/>
      <protection locked="0"/>
    </xf>
    <xf numFmtId="0" fontId="0" fillId="0" borderId="39" xfId="0" applyBorder="1" applyAlignment="1" applyProtection="1">
      <alignment horizontal="center" vertical="top"/>
      <protection locked="0"/>
    </xf>
    <xf numFmtId="0" fontId="4" fillId="21" borderId="7" xfId="0" applyFont="1" applyFill="1" applyBorder="1" applyAlignment="1">
      <alignment horizontal="right" vertical="center"/>
    </xf>
    <xf numFmtId="0" fontId="4" fillId="21" borderId="20" xfId="0" applyFont="1" applyFill="1" applyBorder="1" applyAlignment="1">
      <alignment horizontal="right" vertical="center"/>
    </xf>
    <xf numFmtId="0" fontId="12" fillId="0" borderId="14" xfId="0" applyFont="1" applyBorder="1" applyAlignment="1" applyProtection="1">
      <alignment horizontal="right" vertical="top"/>
      <protection locked="0"/>
    </xf>
    <xf numFmtId="0" fontId="19" fillId="16" borderId="11" xfId="0" applyFont="1" applyFill="1" applyBorder="1" applyAlignment="1">
      <alignment horizontal="center" vertical="center"/>
    </xf>
    <xf numFmtId="0" fontId="19" fillId="16" borderId="12" xfId="0" applyFont="1" applyFill="1" applyBorder="1" applyAlignment="1">
      <alignment horizontal="center" vertical="center"/>
    </xf>
    <xf numFmtId="0" fontId="19" fillId="16" borderId="13"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12" xfId="0" applyFont="1" applyFill="1" applyBorder="1" applyAlignment="1">
      <alignment horizontal="center" vertical="center"/>
    </xf>
    <xf numFmtId="0" fontId="19" fillId="4" borderId="13" xfId="0" applyFont="1" applyFill="1" applyBorder="1" applyAlignment="1">
      <alignment horizontal="center" vertical="center"/>
    </xf>
    <xf numFmtId="0" fontId="0" fillId="21" borderId="0" xfId="0" applyFill="1" applyAlignment="1">
      <alignment horizontal="left" vertical="top"/>
    </xf>
    <xf numFmtId="0" fontId="0" fillId="0" borderId="0" xfId="0" applyAlignment="1" applyProtection="1">
      <alignment horizontal="center"/>
      <protection locked="0"/>
    </xf>
    <xf numFmtId="0" fontId="50" fillId="14" borderId="14" xfId="0" applyFont="1" applyFill="1" applyBorder="1" applyAlignment="1">
      <alignment horizontal="center" vertical="center" wrapText="1"/>
    </xf>
    <xf numFmtId="0" fontId="0" fillId="16" borderId="0" xfId="0" applyFill="1" applyAlignment="1">
      <alignment horizontal="center" vertical="center" wrapText="1"/>
      <extLst>
        <ext xmlns:xfpb="http://schemas.microsoft.com/office/spreadsheetml/2022/featurepropertybag" uri="{C7286773-470A-42A8-94C5-96B5CB345126}">
          <xfpb:xfComplement i="0"/>
        </ext>
      </extLst>
    </xf>
    <xf numFmtId="0" fontId="5" fillId="16" borderId="0" xfId="0" applyFont="1" applyFill="1" applyAlignment="1">
      <alignment horizontal="left" wrapText="1"/>
    </xf>
    <xf numFmtId="0" fontId="6" fillId="14" borderId="14" xfId="0" applyFont="1" applyFill="1" applyBorder="1" applyAlignment="1">
      <alignment horizontal="center" vertical="center"/>
    </xf>
    <xf numFmtId="0" fontId="6" fillId="14" borderId="21" xfId="0" applyFont="1" applyFill="1" applyBorder="1" applyAlignment="1">
      <alignment horizontal="center" vertical="center"/>
    </xf>
    <xf numFmtId="0" fontId="6" fillId="14" borderId="22" xfId="0" applyFont="1" applyFill="1" applyBorder="1" applyAlignment="1">
      <alignment horizontal="center" vertical="center"/>
    </xf>
    <xf numFmtId="0" fontId="1" fillId="0" borderId="17" xfId="0" applyFont="1" applyBorder="1" applyAlignment="1">
      <alignment horizontal="left" vertical="top" wrapText="1"/>
    </xf>
    <xf numFmtId="0" fontId="1" fillId="0" borderId="15" xfId="0" applyFont="1" applyBorder="1" applyAlignment="1">
      <alignment horizontal="left" vertical="top" wrapText="1"/>
    </xf>
    <xf numFmtId="0" fontId="1" fillId="0" borderId="18" xfId="0" applyFont="1" applyBorder="1" applyAlignment="1">
      <alignment horizontal="left" vertical="top" wrapText="1"/>
    </xf>
    <xf numFmtId="0" fontId="1" fillId="0" borderId="19"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1" xfId="0" applyFont="1" applyBorder="1" applyAlignment="1">
      <alignment horizontal="left" vertical="top" wrapText="1"/>
    </xf>
    <xf numFmtId="0" fontId="1" fillId="0" borderId="16" xfId="0" applyFont="1" applyBorder="1" applyAlignment="1">
      <alignment horizontal="left" vertical="top" wrapText="1"/>
    </xf>
    <xf numFmtId="0" fontId="1" fillId="0" borderId="22" xfId="0" applyFont="1" applyBorder="1" applyAlignment="1">
      <alignment horizontal="left" vertical="top" wrapText="1"/>
    </xf>
    <xf numFmtId="0" fontId="1" fillId="14" borderId="47" xfId="0" applyFont="1" applyFill="1" applyBorder="1" applyAlignment="1">
      <alignment horizontal="center" vertical="center" wrapText="1"/>
    </xf>
    <xf numFmtId="0" fontId="1" fillId="14" borderId="56" xfId="0" applyFont="1" applyFill="1" applyBorder="1" applyAlignment="1">
      <alignment horizontal="center" vertical="center" wrapText="1"/>
    </xf>
    <xf numFmtId="0" fontId="1" fillId="14" borderId="40" xfId="0" applyFont="1" applyFill="1" applyBorder="1" applyAlignment="1">
      <alignment horizontal="center" vertical="center" wrapText="1"/>
    </xf>
    <xf numFmtId="0" fontId="1" fillId="5" borderId="0" xfId="0" applyFont="1" applyFill="1" applyAlignment="1">
      <alignment horizontal="center" vertical="center" wrapText="1"/>
    </xf>
    <xf numFmtId="0" fontId="0" fillId="0" borderId="19" xfId="0" applyBorder="1" applyAlignment="1">
      <alignment horizontal="left" wrapText="1"/>
    </xf>
    <xf numFmtId="0" fontId="0" fillId="0" borderId="20" xfId="0" applyBorder="1" applyAlignment="1">
      <alignment horizontal="left" wrapText="1"/>
    </xf>
    <xf numFmtId="0" fontId="0" fillId="0" borderId="21" xfId="0" applyBorder="1" applyAlignment="1">
      <alignment horizontal="left" wrapText="1"/>
    </xf>
    <xf numFmtId="0" fontId="0" fillId="0" borderId="16" xfId="0" applyBorder="1" applyAlignment="1">
      <alignment horizontal="left" wrapText="1"/>
    </xf>
    <xf numFmtId="0" fontId="0" fillId="0" borderId="22" xfId="0" applyBorder="1" applyAlignment="1">
      <alignment horizontal="left" wrapText="1"/>
    </xf>
    <xf numFmtId="0" fontId="1" fillId="14" borderId="23" xfId="0" applyFont="1" applyFill="1" applyBorder="1" applyAlignment="1">
      <alignment horizontal="center" vertical="center" wrapText="1"/>
    </xf>
    <xf numFmtId="0" fontId="1" fillId="14" borderId="24" xfId="0" applyFont="1" applyFill="1" applyBorder="1" applyAlignment="1">
      <alignment horizontal="center" vertical="center" wrapText="1"/>
    </xf>
    <xf numFmtId="0" fontId="1" fillId="14" borderId="25" xfId="0" applyFont="1" applyFill="1" applyBorder="1" applyAlignment="1">
      <alignment horizontal="center" vertical="center" wrapText="1"/>
    </xf>
    <xf numFmtId="0" fontId="1" fillId="14" borderId="26" xfId="0" applyFont="1" applyFill="1" applyBorder="1" applyAlignment="1">
      <alignment horizontal="center" vertical="center" wrapText="1"/>
    </xf>
    <xf numFmtId="0" fontId="1" fillId="14" borderId="27" xfId="0" applyFont="1" applyFill="1" applyBorder="1" applyAlignment="1">
      <alignment horizontal="center" vertical="center" wrapText="1"/>
    </xf>
    <xf numFmtId="0" fontId="1" fillId="14" borderId="28" xfId="0" applyFont="1" applyFill="1" applyBorder="1" applyAlignment="1">
      <alignment horizontal="center" vertical="center" wrapText="1"/>
    </xf>
    <xf numFmtId="0" fontId="15" fillId="16" borderId="8" xfId="0" applyFont="1" applyFill="1" applyBorder="1" applyAlignment="1">
      <alignment horizontal="center" wrapText="1"/>
    </xf>
    <xf numFmtId="0" fontId="1" fillId="14" borderId="29" xfId="0" applyFont="1" applyFill="1" applyBorder="1" applyAlignment="1">
      <alignment horizontal="center" vertical="center" wrapText="1"/>
    </xf>
    <xf numFmtId="0" fontId="1" fillId="14" borderId="31" xfId="0" applyFont="1" applyFill="1" applyBorder="1" applyAlignment="1">
      <alignment horizontal="center" vertical="center" wrapText="1"/>
    </xf>
    <xf numFmtId="0" fontId="42" fillId="16" borderId="0" xfId="0" applyFont="1" applyFill="1" applyAlignment="1">
      <alignment horizontal="left" vertical="top" wrapText="1"/>
    </xf>
    <xf numFmtId="0" fontId="0" fillId="16" borderId="0" xfId="0" applyFill="1" applyAlignment="1">
      <alignment vertical="center" wrapText="1"/>
    </xf>
    <xf numFmtId="0" fontId="0" fillId="16" borderId="0" xfId="0" applyFill="1" applyAlignment="1">
      <alignment horizontal="left" vertical="center" wrapText="1"/>
    </xf>
    <xf numFmtId="0" fontId="0" fillId="0" borderId="19" xfId="0" applyBorder="1" applyAlignment="1">
      <alignment horizontal="center"/>
    </xf>
    <xf numFmtId="0" fontId="0" fillId="0" borderId="0" xfId="0" applyAlignment="1">
      <alignment horizontal="center"/>
    </xf>
    <xf numFmtId="0" fontId="0" fillId="0" borderId="20" xfId="0" applyBorder="1" applyAlignment="1">
      <alignment horizontal="center"/>
    </xf>
    <xf numFmtId="0" fontId="26" fillId="16" borderId="0" xfId="0" applyFont="1" applyFill="1" applyAlignment="1">
      <alignment horizontal="center" vertical="center" wrapText="1"/>
    </xf>
    <xf numFmtId="0" fontId="10" fillId="16" borderId="0" xfId="0" applyFont="1" applyFill="1" applyAlignment="1">
      <alignment horizontal="center" vertical="center" wrapText="1"/>
    </xf>
    <xf numFmtId="0" fontId="10" fillId="16" borderId="16" xfId="0" applyFont="1" applyFill="1" applyBorder="1" applyAlignment="1">
      <alignment horizontal="center" vertical="center" wrapText="1"/>
    </xf>
    <xf numFmtId="0" fontId="25" fillId="16" borderId="0" xfId="0" applyFont="1" applyFill="1" applyAlignment="1">
      <alignment horizontal="center" vertical="center" wrapText="1"/>
    </xf>
    <xf numFmtId="0" fontId="0" fillId="14" borderId="44" xfId="0" applyFill="1" applyBorder="1" applyAlignment="1">
      <alignment horizontal="center" vertical="center" wrapText="1"/>
    </xf>
    <xf numFmtId="0" fontId="0" fillId="14" borderId="47" xfId="0" applyFill="1" applyBorder="1" applyAlignment="1">
      <alignment horizontal="center" vertical="center" wrapText="1"/>
    </xf>
    <xf numFmtId="0" fontId="25" fillId="5" borderId="0" xfId="0" applyFont="1" applyFill="1" applyAlignment="1">
      <alignment horizontal="center" vertical="center" wrapText="1"/>
    </xf>
    <xf numFmtId="0" fontId="21" fillId="19" borderId="0" xfId="0" applyFont="1" applyFill="1" applyAlignment="1">
      <alignment horizontal="center" vertical="center" wrapText="1"/>
    </xf>
    <xf numFmtId="0" fontId="5" fillId="4" borderId="0" xfId="0" applyFont="1" applyFill="1" applyAlignment="1">
      <alignment horizontal="left" wrapText="1"/>
    </xf>
    <xf numFmtId="9" fontId="1" fillId="14" borderId="14" xfId="0" applyNumberFormat="1" applyFont="1" applyFill="1" applyBorder="1" applyAlignment="1">
      <alignment horizontal="center" vertical="center" wrapText="1"/>
    </xf>
    <xf numFmtId="9" fontId="1" fillId="14" borderId="14" xfId="0" applyNumberFormat="1" applyFont="1" applyFill="1" applyBorder="1" applyAlignment="1">
      <alignment horizontal="center" vertical="center"/>
    </xf>
    <xf numFmtId="9" fontId="21" fillId="14" borderId="14" xfId="0" applyNumberFormat="1" applyFont="1" applyFill="1" applyBorder="1" applyAlignment="1">
      <alignment horizontal="center" vertical="center" wrapText="1"/>
    </xf>
    <xf numFmtId="0" fontId="1" fillId="14" borderId="14" xfId="0" applyFont="1" applyFill="1" applyBorder="1" applyAlignment="1">
      <alignment horizontal="center" vertical="center"/>
    </xf>
    <xf numFmtId="9" fontId="1" fillId="14" borderId="14" xfId="0" applyNumberFormat="1" applyFont="1" applyFill="1" applyBorder="1" applyAlignment="1">
      <alignment horizontal="left" vertical="center"/>
    </xf>
    <xf numFmtId="0" fontId="5" fillId="16" borderId="0" xfId="0" quotePrefix="1" applyFont="1" applyFill="1" applyAlignment="1">
      <alignment horizontal="left" vertical="top" wrapText="1"/>
    </xf>
    <xf numFmtId="0" fontId="5" fillId="16" borderId="0" xfId="0" applyFont="1" applyFill="1" applyAlignment="1">
      <alignment horizontal="left" vertical="top" wrapText="1"/>
    </xf>
    <xf numFmtId="0" fontId="21" fillId="14" borderId="23" xfId="0" applyFont="1" applyFill="1" applyBorder="1" applyAlignment="1">
      <alignment horizontal="center" vertical="center"/>
    </xf>
    <xf numFmtId="0" fontId="21" fillId="14" borderId="27" xfId="0" applyFont="1" applyFill="1" applyBorder="1" applyAlignment="1">
      <alignment horizontal="center" vertical="center"/>
    </xf>
    <xf numFmtId="0" fontId="10" fillId="5" borderId="0" xfId="0" applyFont="1" applyFill="1" applyAlignment="1">
      <alignment horizontal="center" vertical="center" wrapText="1"/>
    </xf>
    <xf numFmtId="0" fontId="15" fillId="5" borderId="8" xfId="0" applyFont="1" applyFill="1" applyBorder="1" applyAlignment="1">
      <alignment horizontal="center" wrapText="1"/>
    </xf>
    <xf numFmtId="0" fontId="1" fillId="14" borderId="29" xfId="0" applyFont="1" applyFill="1" applyBorder="1" applyAlignment="1">
      <alignment horizontal="left"/>
    </xf>
    <xf numFmtId="0" fontId="1" fillId="14" borderId="14" xfId="0" applyFont="1" applyFill="1" applyBorder="1" applyAlignment="1">
      <alignment horizontal="left"/>
    </xf>
    <xf numFmtId="0" fontId="1" fillId="14" borderId="31" xfId="0" applyFont="1" applyFill="1" applyBorder="1" applyAlignment="1">
      <alignment horizontal="left"/>
    </xf>
    <xf numFmtId="0" fontId="0" fillId="18" borderId="0" xfId="0" quotePrefix="1" applyFill="1" applyAlignment="1">
      <alignment horizontal="left" vertical="top" wrapText="1"/>
    </xf>
    <xf numFmtId="0" fontId="0" fillId="18" borderId="0" xfId="0" applyFill="1" applyAlignment="1">
      <alignment horizontal="left" vertical="top" wrapText="1"/>
    </xf>
    <xf numFmtId="0" fontId="0" fillId="5" borderId="0" xfId="0" quotePrefix="1" applyFill="1" applyAlignment="1">
      <alignment horizontal="left" vertical="top" wrapText="1"/>
    </xf>
    <xf numFmtId="0" fontId="10" fillId="5" borderId="15" xfId="0" applyFont="1" applyFill="1" applyBorder="1" applyAlignment="1">
      <alignment horizontal="center" vertical="center" wrapText="1"/>
    </xf>
    <xf numFmtId="0" fontId="0" fillId="14" borderId="11" xfId="0" applyFill="1" applyBorder="1" applyAlignment="1">
      <alignment horizontal="center" vertical="center"/>
    </xf>
    <xf numFmtId="0" fontId="0" fillId="14" borderId="37" xfId="0" applyFill="1" applyBorder="1" applyAlignment="1">
      <alignment horizontal="center" vertical="center"/>
    </xf>
    <xf numFmtId="0" fontId="0" fillId="14" borderId="7" xfId="0" applyFill="1" applyBorder="1" applyAlignment="1">
      <alignment horizontal="center" vertical="center"/>
    </xf>
    <xf numFmtId="0" fontId="0" fillId="14" borderId="20" xfId="0" applyFill="1" applyBorder="1" applyAlignment="1">
      <alignment horizontal="center" vertical="center"/>
    </xf>
    <xf numFmtId="0" fontId="0" fillId="14" borderId="9" xfId="0" applyFill="1" applyBorder="1" applyAlignment="1">
      <alignment horizontal="center" vertical="center"/>
    </xf>
    <xf numFmtId="0" fontId="0" fillId="14" borderId="38" xfId="0" applyFill="1" applyBorder="1" applyAlignment="1">
      <alignment horizontal="center" vertical="center"/>
    </xf>
    <xf numFmtId="0" fontId="0" fillId="14" borderId="26" xfId="0" applyFill="1" applyBorder="1" applyAlignment="1">
      <alignment horizontal="left"/>
    </xf>
    <xf numFmtId="0" fontId="0" fillId="6" borderId="0" xfId="0" applyFill="1" applyAlignment="1">
      <alignment horizontal="center" vertical="center" wrapText="1"/>
    </xf>
    <xf numFmtId="0" fontId="10" fillId="4" borderId="15"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16" xfId="0" applyFont="1" applyFill="1" applyBorder="1" applyAlignment="1">
      <alignment horizontal="center" vertical="center" wrapText="1"/>
    </xf>
    <xf numFmtId="0" fontId="10" fillId="17" borderId="0" xfId="0" applyFont="1" applyFill="1" applyAlignment="1">
      <alignment horizontal="center" vertical="center" wrapText="1"/>
    </xf>
    <xf numFmtId="0" fontId="28" fillId="16" borderId="8" xfId="0" applyFont="1" applyFill="1" applyBorder="1" applyAlignment="1">
      <alignment horizontal="center" vertical="center" wrapText="1"/>
    </xf>
    <xf numFmtId="0" fontId="8" fillId="17" borderId="0" xfId="0" applyFont="1" applyFill="1" applyAlignment="1">
      <alignment horizontal="center" vertical="center" wrapText="1"/>
    </xf>
    <xf numFmtId="0" fontId="0" fillId="17" borderId="0" xfId="0" applyFill="1" applyAlignment="1">
      <alignment horizontal="center"/>
    </xf>
    <xf numFmtId="0" fontId="24" fillId="6" borderId="0" xfId="0" applyFont="1" applyFill="1" applyAlignment="1">
      <alignment horizontal="center" wrapText="1"/>
    </xf>
    <xf numFmtId="0" fontId="0" fillId="17" borderId="0" xfId="0" applyFill="1" applyAlignment="1">
      <alignment horizontal="left" vertical="top" wrapText="1"/>
    </xf>
    <xf numFmtId="0" fontId="14" fillId="6" borderId="8" xfId="0" applyFont="1" applyFill="1" applyBorder="1" applyAlignment="1">
      <alignment horizontal="center" vertical="center" wrapText="1"/>
    </xf>
    <xf numFmtId="0" fontId="0" fillId="0" borderId="21" xfId="0" applyBorder="1" applyAlignment="1">
      <alignment horizontal="center"/>
    </xf>
    <xf numFmtId="0" fontId="0" fillId="0" borderId="16" xfId="0" applyBorder="1" applyAlignment="1">
      <alignment horizontal="center"/>
    </xf>
    <xf numFmtId="0" fontId="0" fillId="0" borderId="22" xfId="0" applyBorder="1" applyAlignment="1">
      <alignment horizontal="center"/>
    </xf>
    <xf numFmtId="0" fontId="32" fillId="6" borderId="0" xfId="0" applyFont="1" applyFill="1" applyAlignment="1">
      <alignment horizontal="center" vertical="center" wrapText="1"/>
    </xf>
    <xf numFmtId="0" fontId="15" fillId="6" borderId="0" xfId="0" applyFont="1" applyFill="1" applyAlignment="1">
      <alignment horizontal="center" wrapText="1"/>
    </xf>
    <xf numFmtId="0" fontId="15" fillId="6" borderId="16" xfId="0" applyFont="1" applyFill="1" applyBorder="1" applyAlignment="1">
      <alignment horizontal="center" wrapText="1"/>
    </xf>
    <xf numFmtId="0" fontId="31" fillId="20" borderId="8" xfId="0" applyFont="1" applyFill="1" applyBorder="1" applyAlignment="1">
      <alignment horizontal="center" vertical="center" wrapText="1"/>
    </xf>
    <xf numFmtId="0" fontId="28" fillId="5" borderId="0" xfId="0" applyFont="1" applyFill="1" applyAlignment="1">
      <alignment horizontal="center" vertical="center" wrapText="1"/>
    </xf>
    <xf numFmtId="0" fontId="5" fillId="4" borderId="0" xfId="0" applyFont="1" applyFill="1" applyAlignment="1">
      <alignment horizontal="left" vertical="top" wrapText="1"/>
    </xf>
    <xf numFmtId="0" fontId="21" fillId="5" borderId="0" xfId="0" applyFont="1" applyFill="1" applyAlignment="1">
      <alignment horizontal="center"/>
    </xf>
    <xf numFmtId="0" fontId="21" fillId="6" borderId="0" xfId="0" applyFont="1" applyFill="1" applyAlignment="1">
      <alignment horizontal="center"/>
    </xf>
    <xf numFmtId="0" fontId="21" fillId="16" borderId="0" xfId="0" applyFont="1" applyFill="1" applyAlignment="1">
      <alignment horizontal="center"/>
    </xf>
    <xf numFmtId="0" fontId="52" fillId="10" borderId="14" xfId="0" applyFont="1" applyFill="1" applyBorder="1" applyAlignment="1">
      <alignment horizontal="center" vertical="center" wrapText="1"/>
    </xf>
    <xf numFmtId="0" fontId="52" fillId="14" borderId="14" xfId="0" applyFont="1" applyFill="1" applyBorder="1" applyAlignment="1">
      <alignment horizontal="center" vertical="center" wrapText="1"/>
    </xf>
    <xf numFmtId="0" fontId="0" fillId="14" borderId="25" xfId="0" applyFill="1" applyBorder="1" applyAlignment="1">
      <alignment horizontal="center"/>
    </xf>
    <xf numFmtId="0" fontId="0" fillId="14" borderId="26" xfId="0" applyFill="1" applyBorder="1" applyAlignment="1">
      <alignment horizontal="center"/>
    </xf>
    <xf numFmtId="0" fontId="1" fillId="0" borderId="26" xfId="0" applyFont="1" applyBorder="1" applyAlignment="1">
      <alignment horizontal="left" vertical="center" wrapText="1"/>
    </xf>
    <xf numFmtId="0" fontId="1" fillId="0" borderId="39" xfId="0" applyFont="1" applyBorder="1" applyAlignment="1">
      <alignment horizontal="left" vertical="center"/>
    </xf>
    <xf numFmtId="0" fontId="1" fillId="0" borderId="14" xfId="0" applyFont="1" applyBorder="1" applyAlignment="1">
      <alignment vertical="center" wrapText="1"/>
    </xf>
    <xf numFmtId="0" fontId="1" fillId="0" borderId="14" xfId="0" applyFont="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left" vertical="center" wrapText="1"/>
    </xf>
    <xf numFmtId="0" fontId="1" fillId="0" borderId="14" xfId="0" applyFont="1" applyBorder="1" applyAlignment="1">
      <alignment horizontal="center" vertical="center" wrapText="1"/>
    </xf>
    <xf numFmtId="0" fontId="45" fillId="4" borderId="14" xfId="0" applyFont="1" applyFill="1" applyBorder="1" applyAlignment="1">
      <alignment horizontal="center" vertical="center" wrapText="1"/>
    </xf>
    <xf numFmtId="0" fontId="45" fillId="4" borderId="14" xfId="0" applyFont="1" applyFill="1" applyBorder="1" applyAlignment="1">
      <alignment horizontal="center" vertical="center"/>
    </xf>
    <xf numFmtId="0" fontId="38" fillId="9" borderId="0" xfId="0" applyFont="1" applyFill="1" applyAlignment="1">
      <alignment horizontal="center" vertical="center"/>
    </xf>
    <xf numFmtId="0" fontId="39" fillId="9" borderId="0" xfId="0" applyFont="1" applyFill="1" applyAlignment="1">
      <alignment horizontal="center" vertical="center"/>
    </xf>
    <xf numFmtId="0" fontId="1" fillId="0" borderId="14" xfId="0" applyFont="1" applyBorder="1" applyAlignment="1">
      <alignment horizontal="left" vertical="center"/>
    </xf>
    <xf numFmtId="0" fontId="1" fillId="0" borderId="16" xfId="0" applyFont="1" applyBorder="1" applyAlignment="1">
      <alignment horizontal="center" wrapText="1"/>
    </xf>
    <xf numFmtId="0" fontId="1" fillId="0" borderId="16" xfId="0" applyFont="1" applyBorder="1" applyAlignment="1">
      <alignment horizontal="center"/>
    </xf>
    <xf numFmtId="0" fontId="0" fillId="0" borderId="0" xfId="0" applyAlignment="1">
      <alignment horizontal="left" vertical="center" wrapText="1"/>
    </xf>
    <xf numFmtId="0" fontId="1" fillId="0" borderId="26" xfId="0" applyFont="1" applyBorder="1" applyAlignment="1">
      <alignment horizontal="left" vertical="center"/>
    </xf>
    <xf numFmtId="0" fontId="0" fillId="0" borderId="0" xfId="0" applyAlignment="1">
      <alignment horizontal="left" vertical="center"/>
    </xf>
    <xf numFmtId="0" fontId="0" fillId="0" borderId="20" xfId="0" applyBorder="1" applyAlignment="1">
      <alignment horizontal="left" vertical="center"/>
    </xf>
    <xf numFmtId="0" fontId="1" fillId="0" borderId="0" xfId="0" applyFont="1" applyAlignment="1">
      <alignment horizontal="left"/>
    </xf>
    <xf numFmtId="0" fontId="4" fillId="0" borderId="11" xfId="0"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4" fillId="0" borderId="11" xfId="0" applyFont="1" applyBorder="1" applyAlignment="1">
      <alignment horizontal="left"/>
    </xf>
    <xf numFmtId="0" fontId="4" fillId="0" borderId="12" xfId="0" applyFont="1" applyBorder="1" applyAlignment="1">
      <alignment horizontal="left"/>
    </xf>
    <xf numFmtId="0" fontId="4" fillId="0" borderId="13" xfId="0" applyFont="1" applyBorder="1" applyAlignment="1">
      <alignment horizontal="left"/>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6" xfId="0" applyFont="1" applyBorder="1" applyAlignment="1">
      <alignment horizontal="left" wrapText="1"/>
    </xf>
  </cellXfs>
  <cellStyles count="2">
    <cellStyle name="Normal" xfId="0" builtinId="0"/>
    <cellStyle name="Percent" xfId="1" builtinId="5"/>
  </cellStyles>
  <dxfs count="27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strike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fill>
        <patternFill patternType="none">
          <bgColor auto="1"/>
        </patternFill>
      </fill>
    </dxf>
    <dxf>
      <font>
        <strike/>
      </font>
    </dxf>
    <dxf>
      <font>
        <strike/>
        <color theme="1"/>
      </font>
    </dxf>
    <dxf>
      <font>
        <strike/>
      </font>
    </dxf>
    <dxf>
      <font>
        <strike/>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font>
    </dxf>
    <dxf>
      <font>
        <strike/>
        <color theme="1"/>
      </font>
    </dxf>
    <dxf>
      <font>
        <strike/>
        <color theme="1"/>
      </font>
    </dxf>
    <dxf>
      <font>
        <strike/>
        <color theme="1"/>
      </font>
    </dxf>
    <dxf>
      <font>
        <strike/>
        <color theme="1"/>
      </font>
    </dxf>
    <dxf>
      <font>
        <strike/>
      </font>
    </dxf>
    <dxf>
      <font>
        <strike/>
        <color theme="1"/>
      </font>
    </dxf>
    <dxf>
      <font>
        <strike/>
        <color theme="1"/>
      </font>
    </dxf>
    <dxf>
      <font>
        <strike/>
        <color theme="1"/>
      </font>
    </dxf>
    <dxf>
      <font>
        <strike/>
        <color theme="1"/>
      </font>
    </dxf>
    <dxf>
      <font>
        <strike/>
        <color theme="1"/>
      </font>
    </dxf>
    <dxf>
      <font>
        <strike/>
        <color theme="1"/>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color rgb="FFFF0000"/>
      </font>
    </dxf>
    <dxf>
      <font>
        <strike/>
        <color theme="1"/>
      </font>
    </dxf>
    <dxf>
      <font>
        <strike/>
        <color theme="1"/>
      </font>
    </dxf>
    <dxf>
      <font>
        <strike/>
        <color theme="1"/>
      </font>
    </dxf>
    <dxf>
      <font>
        <strike/>
        <color theme="1"/>
      </font>
    </dxf>
    <dxf>
      <font>
        <color rgb="FFFF0000"/>
      </font>
    </dxf>
    <dxf>
      <font>
        <color rgb="FFFF0000"/>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color rgb="FFFF0000"/>
      </font>
    </dxf>
    <dxf>
      <font>
        <color rgb="FFFF0000"/>
      </font>
    </dxf>
    <dxf>
      <font>
        <color rgb="FFFF0000"/>
      </font>
    </dxf>
    <dxf>
      <font>
        <strike/>
      </font>
    </dxf>
    <dxf>
      <font>
        <strike/>
      </font>
    </dxf>
    <dxf>
      <font>
        <strike/>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strike/>
        <color theme="1"/>
      </font>
    </dxf>
    <dxf>
      <font>
        <color rgb="FFFF0000"/>
      </font>
    </dxf>
    <dxf>
      <font>
        <strike/>
        <color theme="1"/>
      </font>
    </dxf>
    <dxf>
      <font>
        <strike/>
        <color theme="1"/>
      </font>
    </dxf>
    <dxf>
      <font>
        <strike/>
        <color theme="1"/>
      </font>
    </dxf>
    <dxf>
      <font>
        <color rgb="FFFF0000"/>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font>
    </dxf>
    <dxf>
      <font>
        <color rgb="FFFF0000"/>
      </font>
    </dxf>
    <dxf>
      <font>
        <strike/>
        <color theme="1"/>
      </font>
    </dxf>
    <dxf>
      <font>
        <color rgb="FFFF0000"/>
      </font>
    </dxf>
    <dxf>
      <font>
        <strike/>
        <color auto="1"/>
      </font>
    </dxf>
    <dxf>
      <font>
        <color rgb="FFFF0000"/>
      </font>
    </dxf>
    <dxf>
      <font>
        <strike/>
        <color theme="1"/>
      </font>
    </dxf>
    <dxf>
      <font>
        <color rgb="FFFF0000"/>
      </font>
    </dxf>
    <dxf>
      <font>
        <strike/>
        <color theme="1"/>
      </font>
    </dxf>
    <dxf>
      <font>
        <strike val="0"/>
        <color rgb="FFFF0000"/>
      </font>
    </dxf>
    <dxf>
      <font>
        <color rgb="FFFF0000"/>
      </font>
    </dxf>
    <dxf>
      <font>
        <strike/>
        <color theme="1"/>
      </font>
    </dxf>
    <dxf>
      <font>
        <strike/>
        <color theme="1"/>
      </font>
    </dxf>
    <dxf>
      <font>
        <color rgb="FFFF0000"/>
      </font>
    </dxf>
    <dxf>
      <font>
        <strike/>
        <color theme="1"/>
      </font>
    </dxf>
    <dxf>
      <font>
        <color rgb="FFFF0000"/>
      </font>
    </dxf>
    <dxf>
      <font>
        <color rgb="FFFF0000"/>
      </font>
    </dxf>
    <dxf>
      <font>
        <strike/>
        <color theme="1"/>
      </font>
    </dxf>
    <dxf>
      <font>
        <strike/>
        <color theme="1"/>
      </font>
    </dxf>
    <dxf>
      <font>
        <color rgb="FFFF0000"/>
      </font>
    </dxf>
    <dxf>
      <font>
        <strike/>
        <color theme="1"/>
      </font>
    </dxf>
    <dxf>
      <font>
        <color rgb="FFFF0000"/>
      </font>
    </dxf>
    <dxf>
      <font>
        <strike/>
        <color theme="1"/>
      </font>
    </dxf>
    <dxf>
      <font>
        <color rgb="FFFF0000"/>
      </font>
    </dxf>
    <dxf>
      <font>
        <strike/>
        <color theme="1"/>
      </font>
    </dxf>
    <dxf>
      <font>
        <color rgb="FFFF0000"/>
      </font>
    </dxf>
    <dxf>
      <font>
        <strike/>
        <color theme="1"/>
      </font>
    </dxf>
    <dxf>
      <font>
        <color rgb="FFFF0000"/>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font>
    </dxf>
    <dxf>
      <font>
        <strike/>
        <color theme="1"/>
      </font>
    </dxf>
    <dxf>
      <font>
        <strike/>
      </font>
    </dxf>
    <dxf>
      <font>
        <strike/>
        <color theme="1"/>
      </font>
    </dxf>
    <dxf>
      <font>
        <strike/>
        <color theme="1"/>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strike val="0"/>
        <color rgb="FFFF0000"/>
      </font>
    </dxf>
    <dxf>
      <font>
        <b/>
        <i val="0"/>
        <strike val="0"/>
        <color rgb="FFFF0000"/>
      </font>
    </dxf>
    <dxf>
      <font>
        <color rgb="FFFF0000"/>
      </font>
    </dxf>
    <dxf>
      <font>
        <color rgb="FFFF0000"/>
      </font>
    </dxf>
    <dxf>
      <fill>
        <patternFill>
          <bgColor theme="0" tint="-4.9989318521683403E-2"/>
        </patternFill>
      </fill>
    </dxf>
    <dxf>
      <font>
        <color theme="0"/>
      </font>
    </dxf>
    <dxf>
      <font>
        <color rgb="FFFF0000"/>
      </font>
    </dxf>
    <dxf>
      <font>
        <color rgb="FFFF0000"/>
      </font>
    </dxf>
  </dxfs>
  <tableStyles count="0" defaultTableStyle="TableStyleMedium2" defaultPivotStyle="PivotStyleLight16"/>
  <colors>
    <mruColors>
      <color rgb="FFFB88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fmlaLink="'Datos ensayos LUM.'!$E$6" lockText="1" noThreeD="1"/>
</file>

<file path=xl/ctrlProps/ctrlProp3.xml><?xml version="1.0" encoding="utf-8"?>
<formControlPr xmlns="http://schemas.microsoft.com/office/spreadsheetml/2009/9/main" objectType="CheckBox" fmlaLink="'Datos ensayos LUM.'!$F$6" lockText="1" noThreeD="1"/>
</file>

<file path=xl/ctrlProps/ctrlProp4.xml><?xml version="1.0" encoding="utf-8"?>
<formControlPr xmlns="http://schemas.microsoft.com/office/spreadsheetml/2009/9/main" objectType="CheckBox" fmlaLink="'Datos ensayos LUM.'!$G$6" lockText="1" noThreeD="1"/>
</file>

<file path=xl/ctrlProps/ctrlProp5.xml><?xml version="1.0" encoding="utf-8"?>
<formControlPr xmlns="http://schemas.microsoft.com/office/spreadsheetml/2009/9/main" objectType="CheckBox" fmlaLink="'Datos ensayos LUM.'!$H$6" lockText="1" noThreeD="1"/>
</file>

<file path=xl/ctrlProps/ctrlProp6.xml><?xml version="1.0" encoding="utf-8"?>
<formControlPr xmlns="http://schemas.microsoft.com/office/spreadsheetml/2009/9/main" objectType="CheckBox" fmlaLink="'Datos ensayos LUM.'!$J$6" lockText="1" noThreeD="1"/>
</file>

<file path=xl/ctrlProps/ctrlProp7.xml><?xml version="1.0" encoding="utf-8"?>
<formControlPr xmlns="http://schemas.microsoft.com/office/spreadsheetml/2009/9/main" objectType="CheckBox" fmlaLink="'Datos ensayos LUM.'!$K$6" lockText="1" noThreeD="1"/>
</file>

<file path=xl/ctrlProps/ctrlProp8.xml><?xml version="1.0" encoding="utf-8"?>
<formControlPr xmlns="http://schemas.microsoft.com/office/spreadsheetml/2009/9/main" objectType="CheckBox" fmlaLink="'Datos ensayos LUM.'!$L$6" lockText="1" noThreeD="1"/>
</file>

<file path=xl/ctrlProps/ctrlProp9.xml><?xml version="1.0" encoding="utf-8"?>
<formControlPr xmlns="http://schemas.microsoft.com/office/spreadsheetml/2009/9/main" objectType="CheckBox" fmlaLink="'Datos ensayos LUM.'!$M$6" lockText="1" noThreeD="1"/>
</file>

<file path=xl/ctrlProps/ctrlProp10.xml><?xml version="1.0" encoding="utf-8"?>
<formControlPr xmlns="http://schemas.microsoft.com/office/spreadsheetml/2009/9/main" objectType="CheckBox" fmlaLink="'Datos ensayos LUM.'!$N$6" lockText="1" noThreeD="1"/>
</file>

<file path=xl/ctrlProps/ctrlProp11.xml><?xml version="1.0" encoding="utf-8"?>
<formControlPr xmlns="http://schemas.microsoft.com/office/spreadsheetml/2009/9/main" objectType="CheckBox" fmlaLink="'Datos ensayos LUM.'!$D$6" lockText="1" noThreeD="1"/>
</file>

<file path=xl/ctrlProps/ctrlProp12.xml><?xml version="1.0" encoding="utf-8"?>
<formControlPr xmlns="http://schemas.microsoft.com/office/spreadsheetml/2009/9/main" objectType="CheckBox" fmlaLink="#REF!" lockText="1" noThreeD="1"/>
</file>

<file path=xl/ctrlProps/ctrlProp13.xml><?xml version="1.0" encoding="utf-8"?>
<formControlPr xmlns="http://schemas.microsoft.com/office/spreadsheetml/2009/9/main" objectType="CheckBox" fmlaLink="#REF!" lockText="1" noThreeD="1"/>
</file>

<file path=xl/ctrlProps/ctrlProp14.xml><?xml version="1.0" encoding="utf-8"?>
<formControlPr xmlns="http://schemas.microsoft.com/office/spreadsheetml/2009/9/main" objectType="CheckBox" fmlaLink="'Datos ensayos LUM.'!$U$6" lockText="1" noThreeD="1"/>
</file>

<file path=xl/ctrlProps/ctrlProp15.xml><?xml version="1.0" encoding="utf-8"?>
<formControlPr xmlns="http://schemas.microsoft.com/office/spreadsheetml/2009/9/main" objectType="CheckBox" fmlaLink="'Datos ensayos LUM.'!$C$12" lockText="1" noThreeD="1"/>
</file>

<file path=xl/ctrlProps/ctrlProp16.xml><?xml version="1.0" encoding="utf-8"?>
<formControlPr xmlns="http://schemas.microsoft.com/office/spreadsheetml/2009/9/main" objectType="CheckBox" fmlaLink="'Datos ensayos LUM.'!$E$11" lockText="1" noThreeD="1"/>
</file>

<file path=xl/ctrlProps/ctrlProp17.xml><?xml version="1.0" encoding="utf-8"?>
<formControlPr xmlns="http://schemas.microsoft.com/office/spreadsheetml/2009/9/main" objectType="CheckBox" fmlaLink="'Datos ensayos LUM.'!$E$12" lockText="1" noThreeD="1"/>
</file>

<file path=xl/ctrlProps/ctrlProp18.xml><?xml version="1.0" encoding="utf-8"?>
<formControlPr xmlns="http://schemas.microsoft.com/office/spreadsheetml/2009/9/main" objectType="CheckBox" fmlaLink="'Datos ensayos LUM.'!$G$11" lockText="1" noThreeD="1"/>
</file>

<file path=xl/ctrlProps/ctrlProp19.xml><?xml version="1.0" encoding="utf-8"?>
<formControlPr xmlns="http://schemas.microsoft.com/office/spreadsheetml/2009/9/main" objectType="CheckBox" fmlaLink="'Datos ensayos LUM.'!$G$12" lockText="1" noThreeD="1"/>
</file>

<file path=xl/ctrlProps/ctrlProp20.xml><?xml version="1.0" encoding="utf-8"?>
<formControlPr xmlns="http://schemas.microsoft.com/office/spreadsheetml/2009/9/main" objectType="CheckBox" fmlaLink="'Datos ensayos LUM.'!$K$10" lockText="1" noThreeD="1"/>
</file>

<file path=xl/ctrlProps/ctrlProp21.xml><?xml version="1.0" encoding="utf-8"?>
<formControlPr xmlns="http://schemas.microsoft.com/office/spreadsheetml/2009/9/main" objectType="CheckBox" fmlaLink="'Datos ensayos LUM.'!$C$9" lockText="1" noThreeD="1"/>
</file>

<file path=xl/ctrlProps/ctrlProp22.xml><?xml version="1.0" encoding="utf-8"?>
<formControlPr xmlns="http://schemas.microsoft.com/office/spreadsheetml/2009/9/main" objectType="CheckBox" fmlaLink="'Datos ensayos LUM.'!$C$10" lockText="1" noThreeD="1"/>
</file>

<file path=xl/ctrlProps/ctrlProp23.xml><?xml version="1.0" encoding="utf-8"?>
<formControlPr xmlns="http://schemas.microsoft.com/office/spreadsheetml/2009/9/main" objectType="CheckBox" fmlaLink="'Datos ensayos LUM.'!$E$9" lockText="1" noThreeD="1"/>
</file>

<file path=xl/ctrlProps/ctrlProp24.xml><?xml version="1.0" encoding="utf-8"?>
<formControlPr xmlns="http://schemas.microsoft.com/office/spreadsheetml/2009/9/main" objectType="CheckBox" fmlaLink="'Datos ensayos LUM.'!$E$10" lockText="1" noThreeD="1"/>
</file>

<file path=xl/ctrlProps/ctrlProp25.xml><?xml version="1.0" encoding="utf-8"?>
<formControlPr xmlns="http://schemas.microsoft.com/office/spreadsheetml/2009/9/main" objectType="CheckBox" fmlaLink="'Datos ensayos LUM.'!$G$9" lockText="1" noThreeD="1"/>
</file>

<file path=xl/ctrlProps/ctrlProp26.xml><?xml version="1.0" encoding="utf-8"?>
<formControlPr xmlns="http://schemas.microsoft.com/office/spreadsheetml/2009/9/main" objectType="CheckBox" fmlaLink="'Datos ensayos LUM.'!$G$10" lockText="1" noThreeD="1"/>
</file>

<file path=xl/ctrlProps/ctrlProp27.xml><?xml version="1.0" encoding="utf-8"?>
<formControlPr xmlns="http://schemas.microsoft.com/office/spreadsheetml/2009/9/main" objectType="CheckBox" fmlaLink="'Datos ensayos LUM.'!$I$9" lockText="1" noThreeD="1"/>
</file>

<file path=xl/ctrlProps/ctrlProp28.xml><?xml version="1.0" encoding="utf-8"?>
<formControlPr xmlns="http://schemas.microsoft.com/office/spreadsheetml/2009/9/main" objectType="CheckBox" fmlaLink="'Datos ensayos LUM.'!$I$10" lockText="1" noThreeD="1"/>
</file>

<file path=xl/ctrlProps/ctrlProp29.xml><?xml version="1.0" encoding="utf-8"?>
<formControlPr xmlns="http://schemas.microsoft.com/office/spreadsheetml/2009/9/main" objectType="CheckBox" fmlaLink="'Datos ensayos LUM.'!$K$9" lockText="1" noThreeD="1"/>
</file>

<file path=xl/ctrlProps/ctrlProp30.xml><?xml version="1.0" encoding="utf-8"?>
<formControlPr xmlns="http://schemas.microsoft.com/office/spreadsheetml/2009/9/main" objectType="CheckBox" fmlaLink="'Datos ensayos LUM.'!$C$14" lockText="1" noThreeD="1"/>
</file>

<file path=xl/ctrlProps/ctrlProp31.xml><?xml version="1.0" encoding="utf-8"?>
<formControlPr xmlns="http://schemas.microsoft.com/office/spreadsheetml/2009/9/main" objectType="CheckBox" fmlaLink="'Datos ensayos LUM.'!$E$14" lockText="1" noThreeD="1"/>
</file>

<file path=xl/ctrlProps/ctrlProp32.xml><?xml version="1.0" encoding="utf-8"?>
<formControlPr xmlns="http://schemas.microsoft.com/office/spreadsheetml/2009/9/main" objectType="CheckBox" fmlaLink="'Datos ensayos LUM.'!$G$14" lockText="1" noThreeD="1"/>
</file>

<file path=xl/ctrlProps/ctrlProp33.xml><?xml version="1.0" encoding="utf-8"?>
<formControlPr xmlns="http://schemas.microsoft.com/office/spreadsheetml/2009/9/main" objectType="CheckBox" fmlaLink="'Datos ensayos LUM.'!$I$14" lockText="1" noThreeD="1"/>
</file>

<file path=xl/ctrlProps/ctrlProp34.xml><?xml version="1.0" encoding="utf-8"?>
<formControlPr xmlns="http://schemas.microsoft.com/office/spreadsheetml/2009/9/main" objectType="CheckBox" fmlaLink="'Datos ensayos LUM.'!$C$15" lockText="1" noThreeD="1"/>
</file>

<file path=xl/ctrlProps/ctrlProp35.xml><?xml version="1.0" encoding="utf-8"?>
<formControlPr xmlns="http://schemas.microsoft.com/office/spreadsheetml/2009/9/main" objectType="CheckBox" fmlaLink="'Datos ensayos LUM.'!$E$15" lockText="1" noThreeD="1"/>
</file>

<file path=xl/ctrlProps/ctrlProp36.xml><?xml version="1.0" encoding="utf-8"?>
<formControlPr xmlns="http://schemas.microsoft.com/office/spreadsheetml/2009/9/main" objectType="CheckBox" fmlaLink="'Datos ensayos LUM.'!$G$15" lockText="1" noThreeD="1"/>
</file>

<file path=xl/ctrlProps/ctrlProp37.xml><?xml version="1.0" encoding="utf-8"?>
<formControlPr xmlns="http://schemas.microsoft.com/office/spreadsheetml/2009/9/main" objectType="Radio" checked="Checked" firstButton="1"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GBox" noThreeD="1"/>
</file>

<file path=xl/ctrlProps/ctrlProp40.xml><?xml version="1.0" encoding="utf-8"?>
<formControlPr xmlns="http://schemas.microsoft.com/office/spreadsheetml/2009/9/main" objectType="Radio" checked="Checked" firstButton="1"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Radio" checked="Checked" firstButton="1" fmlaLink="'Datos ensayos LUM.'!$D$8"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fmlaLink="'Datos ensayos LUM.'!$G$7" lockText="1" noThreeD="1"/>
</file>

<file path=xl/ctrlProps/ctrlProp49.xml><?xml version="1.0" encoding="utf-8"?>
<formControlPr xmlns="http://schemas.microsoft.com/office/spreadsheetml/2009/9/main" objectType="CheckBox" fmlaLink="'Datos ensayos LUM.'!$I$7" lockText="1" noThreeD="1"/>
</file>

<file path=xl/ctrlProps/ctrlProp50.xml><?xml version="1.0" encoding="utf-8"?>
<formControlPr xmlns="http://schemas.microsoft.com/office/spreadsheetml/2009/9/main" objectType="CheckBox" fmlaLink="#REF!" lockText="1" noThreeD="1"/>
</file>

<file path=xl/ctrlProps/ctrlProp51.xml><?xml version="1.0" encoding="utf-8"?>
<formControlPr xmlns="http://schemas.microsoft.com/office/spreadsheetml/2009/9/main" objectType="CheckBox" fmlaLink="#REF!" lockText="1" noThreeD="1"/>
</file>

<file path=xl/ctrlProps/ctrlProp52.xml><?xml version="1.0" encoding="utf-8"?>
<formControlPr xmlns="http://schemas.microsoft.com/office/spreadsheetml/2009/9/main" objectType="CheckBox" fmlaLink="'Datos ensayos LUM.'!$C$60" lockText="1" noThreeD="1"/>
</file>

<file path=xl/ctrlProps/ctrlProp53.xml><?xml version="1.0" encoding="utf-8"?>
<formControlPr xmlns="http://schemas.microsoft.com/office/spreadsheetml/2009/9/main" objectType="CheckBox" fmlaLink="'Datos ensayos LUM.'!$C$61" lockText="1" noThreeD="1"/>
</file>

<file path=xl/ctrlProps/ctrlProp54.xml><?xml version="1.0" encoding="utf-8"?>
<formControlPr xmlns="http://schemas.microsoft.com/office/spreadsheetml/2009/9/main" objectType="CheckBox" fmlaLink="'Datos ensayos LUM.'!$C$62" lockText="1" noThreeD="1"/>
</file>

<file path=xl/ctrlProps/ctrlProp55.xml><?xml version="1.0" encoding="utf-8"?>
<formControlPr xmlns="http://schemas.microsoft.com/office/spreadsheetml/2009/9/main" objectType="CheckBox" fmlaLink="'Datos ensayos LUM.'!$B$60" lockText="1" noThreeD="1"/>
</file>

<file path=xl/ctrlProps/ctrlProp56.xml><?xml version="1.0" encoding="utf-8"?>
<formControlPr xmlns="http://schemas.microsoft.com/office/spreadsheetml/2009/9/main" objectType="CheckBox" fmlaLink="'Datos ensayos LUM.'!$B$61" lockText="1" noThreeD="1"/>
</file>

<file path=xl/ctrlProps/ctrlProp57.xml><?xml version="1.0" encoding="utf-8"?>
<formControlPr xmlns="http://schemas.microsoft.com/office/spreadsheetml/2009/9/main" objectType="CheckBox" fmlaLink="'Datos ensayos LUM.'!$B$63" lockText="1" noThreeD="1"/>
</file>

<file path=xl/ctrlProps/ctrlProp58.xml><?xml version="1.0" encoding="utf-8"?>
<formControlPr xmlns="http://schemas.microsoft.com/office/spreadsheetml/2009/9/main" objectType="CheckBox" fmlaLink="'Datos ensayos LUM.'!$B$62" lockText="1" noThreeD="1"/>
</file>

<file path=xl/ctrlProps/ctrlProp59.xml><?xml version="1.0" encoding="utf-8"?>
<formControlPr xmlns="http://schemas.microsoft.com/office/spreadsheetml/2009/9/main" objectType="CheckBox" fmlaLink="'Datos ensayos LUM.'!$L$76" lockText="1" noThreeD="1"/>
</file>

<file path=xl/ctrlProps/ctrlProp60.xml><?xml version="1.0" encoding="utf-8"?>
<formControlPr xmlns="http://schemas.microsoft.com/office/spreadsheetml/2009/9/main" objectType="CheckBox" fmlaLink="'Datos ensayos LUM.'!$L$77"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fmlaLink="'Datos ensayos LUM.'!$B$83" lockText="1" noThreeD="1"/>
</file>

<file path=xl/ctrlProps/ctrlProp64.xml><?xml version="1.0" encoding="utf-8"?>
<formControlPr xmlns="http://schemas.microsoft.com/office/spreadsheetml/2009/9/main" objectType="CheckBox" fmlaLink="'Datos ensayos LUM.'!$C$83" lockText="1" noThreeD="1"/>
</file>

<file path=xl/ctrlProps/ctrlProp65.xml><?xml version="1.0" encoding="utf-8"?>
<formControlPr xmlns="http://schemas.microsoft.com/office/spreadsheetml/2009/9/main" objectType="CheckBox" fmlaLink="'Datos ensayos LUM.'!$D$81"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checked="Checked" lockText="1" noThreeD="1"/>
</file>

<file path=xl/ctrlProps/ctrlProp72.xml><?xml version="1.0" encoding="utf-8"?>
<formControlPr xmlns="http://schemas.microsoft.com/office/spreadsheetml/2009/9/main" objectType="CheckBox" checked="Checked"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fmlaLink="'Datos ensayos LUM.'!$J$135" lockText="1" noThreeD="1"/>
</file>

<file path=xl/ctrlProps/ctrlProp79.xml><?xml version="1.0" encoding="utf-8"?>
<formControlPr xmlns="http://schemas.microsoft.com/office/spreadsheetml/2009/9/main" objectType="CheckBox" fmlaLink="'Datos ensayos LUM.'!$J$136" lockText="1" noThreeD="1"/>
</file>

<file path=xl/ctrlProps/ctrlProp80.xml><?xml version="1.0" encoding="utf-8"?>
<formControlPr xmlns="http://schemas.microsoft.com/office/spreadsheetml/2009/9/main" objectType="CheckBox" fmlaLink="'Datos ensayos LUM.'!$K$136" lockText="1" noThreeD="1"/>
</file>

<file path=xl/ctrlProps/ctrlProp81.xml><?xml version="1.0" encoding="utf-8"?>
<formControlPr xmlns="http://schemas.microsoft.com/office/spreadsheetml/2009/9/main" objectType="CheckBox" fmlaLink="'Datos ensayos LUM.'!$K$135" lockText="1" noThreeD="1"/>
</file>

<file path=xl/ctrlProps/ctrlProp82.xml><?xml version="1.0" encoding="utf-8"?>
<formControlPr xmlns="http://schemas.microsoft.com/office/spreadsheetml/2009/9/main" objectType="CheckBox" fmlaLink="'Datos ensayos LUM.'!$J$144" lockText="1" noThreeD="1"/>
</file>

<file path=xl/ctrlProps/ctrlProp83.xml><?xml version="1.0" encoding="utf-8"?>
<formControlPr xmlns="http://schemas.microsoft.com/office/spreadsheetml/2009/9/main" objectType="CheckBox" fmlaLink="'Datos ensayos LUM.'!$J$145" lockText="1" noThreeD="1"/>
</file>

<file path=xl/ctrlProps/ctrlProp84.xml><?xml version="1.0" encoding="utf-8"?>
<formControlPr xmlns="http://schemas.microsoft.com/office/spreadsheetml/2009/9/main" objectType="CheckBox" fmlaLink="'Datos ensayos LUM.'!$K$144" lockText="1" noThreeD="1"/>
</file>

<file path=xl/ctrlProps/ctrlProp85.xml><?xml version="1.0" encoding="utf-8"?>
<formControlPr xmlns="http://schemas.microsoft.com/office/spreadsheetml/2009/9/main" objectType="CheckBox" fmlaLink="'Datos ensayos LUM.'!$K$145" lockText="1" noThreeD="1"/>
</file>

<file path=xl/ctrlProps/ctrlProp86.xml><?xml version="1.0" encoding="utf-8"?>
<formControlPr xmlns="http://schemas.microsoft.com/office/spreadsheetml/2009/9/main" objectType="CheckBox" fmlaLink="'Datos ensayos LUM.'!$L$144" lockText="1" noThreeD="1"/>
</file>

<file path=xl/ctrlProps/ctrlProp87.xml><?xml version="1.0" encoding="utf-8"?>
<formControlPr xmlns="http://schemas.microsoft.com/office/spreadsheetml/2009/9/main" objectType="CheckBox" fmlaLink="'Datos ensayos LUM.'!$L$145" lockText="1" noThreeD="1"/>
</file>

<file path=xl/ctrlProps/ctrlProp88.xml><?xml version="1.0" encoding="utf-8"?>
<formControlPr xmlns="http://schemas.microsoft.com/office/spreadsheetml/2009/9/main" objectType="CheckBox" checked="Checked" fmlaLink="'Datos ensayos LUM.'!$D$192" lockText="1" noThreeD="1"/>
</file>

<file path=xl/ctrlProps/ctrlProp89.xml><?xml version="1.0" encoding="utf-8"?>
<formControlPr xmlns="http://schemas.microsoft.com/office/spreadsheetml/2009/9/main" objectType="CheckBox" fmlaLink="'Datos ensayos LUM.'!$D$193" lockText="1" noThreeD="1"/>
</file>

<file path=xl/ctrlProps/ctrlProp90.xml><?xml version="1.0" encoding="utf-8"?>
<formControlPr xmlns="http://schemas.microsoft.com/office/spreadsheetml/2009/9/main" objectType="CheckBox" fmlaLink="'Datos ensayos LUM.'!$B$243" lockText="1" noThreeD="1"/>
</file>

<file path=xl/ctrlProps/ctrlProp91.xml><?xml version="1.0" encoding="utf-8"?>
<formControlPr xmlns="http://schemas.microsoft.com/office/spreadsheetml/2009/9/main" objectType="CheckBox" fmlaLink="'Datos ensayos LUM.'!$C$243"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fmlaLink="'Datos ensayos LUM.'!$Z$30" lockText="1" noThreeD="1"/>
</file>

<file path=xl/ctrlProps/ctrlProp95.xml><?xml version="1.0" encoding="utf-8"?>
<formControlPr xmlns="http://schemas.microsoft.com/office/spreadsheetml/2009/9/main" objectType="CheckBox" fmlaLink="'Datos ensayos LUM.'!$AA$30" lockText="1" noThreeD="1"/>
</file>

<file path=xl/ctrlProps/ctrlProp96.xml><?xml version="1.0" encoding="utf-8"?>
<formControlPr xmlns="http://schemas.microsoft.com/office/spreadsheetml/2009/9/main" objectType="CheckBox" fmlaLink="'Datos ensayos LUM.'!$AR$58" lockText="1" noThreeD="1"/>
</file>

<file path=xl/ctrlProps/ctrlProp97.xml><?xml version="1.0" encoding="utf-8"?>
<formControlPr xmlns="http://schemas.microsoft.com/office/spreadsheetml/2009/9/main" objectType="CheckBox" fmlaLink="'Datos ensayos LUM.'!$L$20" lockText="1" noThreeD="1"/>
</file>

<file path=xl/ctrlProps/ctrlProp98.xml><?xml version="1.0" encoding="utf-8"?>
<formControlPr xmlns="http://schemas.microsoft.com/office/spreadsheetml/2009/9/main" objectType="CheckBox" fmlaLink="'Datos ensayos LUM.'!$D$38" lockText="1" noThreeD="1"/>
</file>

<file path=xl/ctrlProps/ctrlProp99.xml><?xml version="1.0" encoding="utf-8"?>
<formControlPr xmlns="http://schemas.microsoft.com/office/spreadsheetml/2009/9/main" objectType="CheckBox" fmlaLink="'Datos ensayos LUM.'!$K$40" lockText="1" noThreeD="1"/>
</file>

<file path=xl/ctrlProps/ctrlProp100.xml><?xml version="1.0" encoding="utf-8"?>
<formControlPr xmlns="http://schemas.microsoft.com/office/spreadsheetml/2009/9/main" objectType="CheckBox" fmlaLink="'Datos ensayos LUM.'!$K$39" lockText="1" noThreeD="1"/>
</file>

<file path=xl/ctrlProps/ctrlProp101.xml><?xml version="1.0" encoding="utf-8"?>
<formControlPr xmlns="http://schemas.microsoft.com/office/spreadsheetml/2009/9/main" objectType="CheckBox" fmlaLink="'Datos ensayos LUM.'!$K$41" lockText="1" noThreeD="1"/>
</file>

<file path=xl/ctrlProps/ctrlProp102.xml><?xml version="1.0" encoding="utf-8"?>
<formControlPr xmlns="http://schemas.microsoft.com/office/spreadsheetml/2009/9/main" objectType="CheckBox" fmlaLink="'Datos ensayos LUM.'!$K$42" lockText="1" noThreeD="1"/>
</file>

<file path=xl/ctrlProps/ctrlProp103.xml><?xml version="1.0" encoding="utf-8"?>
<formControlPr xmlns="http://schemas.microsoft.com/office/spreadsheetml/2009/9/main" objectType="CheckBox" fmlaLink="'Datos ensayos LUM.'!$L$75" lockText="1" noThreeD="1"/>
</file>

<file path=xl/ctrlProps/ctrlProp104.xml><?xml version="1.0" encoding="utf-8"?>
<formControlPr xmlns="http://schemas.microsoft.com/office/spreadsheetml/2009/9/main" objectType="CheckBox" checked="Checked" fmlaLink="'Datos ensayos LUM.'!$D$108" lockText="1" noThreeD="1"/>
</file>

<file path=xl/ctrlProps/ctrlProp105.xml><?xml version="1.0" encoding="utf-8"?>
<formControlPr xmlns="http://schemas.microsoft.com/office/spreadsheetml/2009/9/main" objectType="CheckBox" fmlaLink="'Datos ensayos LUM.'!$K$43" lockText="1" noThreeD="1"/>
</file>

<file path=xl/ctrlProps/ctrlProp106.xml><?xml version="1.0" encoding="utf-8"?>
<formControlPr xmlns="http://schemas.microsoft.com/office/spreadsheetml/2009/9/main" objectType="CheckBox" fmlaLink="'Datos ensayos LUM.'!$K$44" lockText="1" noThreeD="1"/>
</file>

<file path=xl/ctrlProps/ctrlProp107.xml><?xml version="1.0" encoding="utf-8"?>
<formControlPr xmlns="http://schemas.microsoft.com/office/spreadsheetml/2009/9/main" objectType="CheckBox" fmlaLink="'Datos ensayos LUM.'!$J$137" lockText="1" noThreeD="1"/>
</file>

<file path=xl/ctrlProps/ctrlProp108.xml><?xml version="1.0" encoding="utf-8"?>
<formControlPr xmlns="http://schemas.microsoft.com/office/spreadsheetml/2009/9/main" objectType="CheckBox" fmlaLink="'Datos ensayos LUM.'!$D$140" lockText="1" noThreeD="1"/>
</file>

<file path=xl/ctrlProps/ctrlProp109.xml><?xml version="1.0" encoding="utf-8"?>
<formControlPr xmlns="http://schemas.microsoft.com/office/spreadsheetml/2009/9/main" objectType="CheckBox" fmlaLink="'Datos ensayos LUM.'!$D$146" lockText="1" noThreeD="1"/>
</file>

<file path=xl/ctrlProps/ctrlProp110.xml><?xml version="1.0" encoding="utf-8"?>
<formControlPr xmlns="http://schemas.microsoft.com/office/spreadsheetml/2009/9/main" objectType="CheckBox" fmlaLink="'Datos ensayos LUM.'!$L$142" lockText="1" noThreeD="1"/>
</file>

<file path=xl/ctrlProps/ctrlProp111.xml><?xml version="1.0" encoding="utf-8"?>
<formControlPr xmlns="http://schemas.microsoft.com/office/spreadsheetml/2009/9/main" objectType="CheckBox" fmlaLink="'Datos ensayos LUM.'!$K$48" lockText="1" noThreeD="1"/>
</file>

<file path=xl/ctrlProps/ctrlProp112.xml><?xml version="1.0" encoding="utf-8"?>
<formControlPr xmlns="http://schemas.microsoft.com/office/spreadsheetml/2009/9/main" objectType="CheckBox" fmlaLink="'Datos ensayos LUM.'!$K$50" lockText="1" noThreeD="1"/>
</file>

<file path=xl/ctrlProps/ctrlProp113.xml><?xml version="1.0" encoding="utf-8"?>
<formControlPr xmlns="http://schemas.microsoft.com/office/spreadsheetml/2009/9/main" objectType="CheckBox" fmlaLink="'Datos ensayos LUM.'!$K$51" lockText="1" noThreeD="1"/>
</file>

<file path=xl/ctrlProps/ctrlProp114.xml><?xml version="1.0" encoding="utf-8"?>
<formControlPr xmlns="http://schemas.microsoft.com/office/spreadsheetml/2009/9/main" objectType="CheckBox" fmlaLink="'Datos ensayos LUM.'!$K$52" lockText="1" noThreeD="1"/>
</file>

<file path=xl/ctrlProps/ctrlProp115.xml><?xml version="1.0" encoding="utf-8"?>
<formControlPr xmlns="http://schemas.microsoft.com/office/spreadsheetml/2009/9/main" objectType="CheckBox" fmlaLink="'Datos ensayos LUM.'!$K$53" lockText="1" noThreeD="1"/>
</file>

<file path=xl/ctrlProps/ctrlProp116.xml><?xml version="1.0" encoding="utf-8"?>
<formControlPr xmlns="http://schemas.microsoft.com/office/spreadsheetml/2009/9/main" objectType="CheckBox" fmlaLink="'Datos ensayos LUM.'!$D$221" lockText="1" noThreeD="1"/>
</file>

<file path=xl/ctrlProps/ctrlProp117.xml><?xml version="1.0" encoding="utf-8"?>
<formControlPr xmlns="http://schemas.microsoft.com/office/spreadsheetml/2009/9/main" objectType="CheckBox" fmlaLink="'Datos ensayos LUM.'!$D$222" lockText="1" noThreeD="1"/>
</file>

<file path=xl/ctrlProps/ctrlProp118.xml><?xml version="1.0" encoding="utf-8"?>
<formControlPr xmlns="http://schemas.microsoft.com/office/spreadsheetml/2009/9/main" objectType="CheckBox" fmlaLink="'Datos ensayos LUM.'!$D$216" lockText="1" noThreeD="1"/>
</file>

<file path=xl/ctrlProps/ctrlProp119.xml><?xml version="1.0" encoding="utf-8"?>
<formControlPr xmlns="http://schemas.microsoft.com/office/spreadsheetml/2009/9/main" objectType="CheckBox" fmlaLink="'Datos ensayos LUM.'!$D$218" lockText="1" noThreeD="1"/>
</file>

<file path=xl/ctrlProps/ctrlProp120.xml><?xml version="1.0" encoding="utf-8"?>
<formControlPr xmlns="http://schemas.microsoft.com/office/spreadsheetml/2009/9/main" objectType="CheckBox" fmlaLink="'Datos ensayos LUM.'!$D$217" lockText="1" noThreeD="1"/>
</file>

<file path=xl/ctrlProps/ctrlProp121.xml><?xml version="1.0" encoding="utf-8"?>
<formControlPr xmlns="http://schemas.microsoft.com/office/spreadsheetml/2009/9/main" objectType="CheckBox" fmlaLink="'Datos ensayos LUM.'!$K$54" lockText="1" noThreeD="1"/>
</file>

<file path=xl/ctrlProps/ctrlProp122.xml><?xml version="1.0" encoding="utf-8"?>
<formControlPr xmlns="http://schemas.microsoft.com/office/spreadsheetml/2009/9/main" objectType="CheckBox" fmlaLink="'Datos ensayos LUM.'!$K$56" lockText="1" noThreeD="1"/>
</file>

<file path=xl/ctrlProps/ctrlProp123.xml><?xml version="1.0" encoding="utf-8"?>
<formControlPr xmlns="http://schemas.microsoft.com/office/spreadsheetml/2009/9/main" objectType="CheckBox" fmlaLink="'Datos ensayos LUM.'!$K$58" lockText="1" noThreeD="1"/>
</file>

<file path=xl/ctrlProps/ctrlProp124.xml><?xml version="1.0" encoding="utf-8"?>
<formControlPr xmlns="http://schemas.microsoft.com/office/spreadsheetml/2009/9/main" objectType="CheckBox" fmlaLink="'Datos ensayos LUM.'!$T$20" lockText="1" noThreeD="1"/>
</file>

<file path=xl/ctrlProps/ctrlProp125.xml><?xml version="1.0" encoding="utf-8"?>
<formControlPr xmlns="http://schemas.microsoft.com/office/spreadsheetml/2009/9/main" objectType="CheckBox" checked="Checked" fmlaLink="'Datos ensayos LUM.'!$T$28" lockText="1" noThreeD="1"/>
</file>

<file path=xl/ctrlProps/ctrlProp126.xml><?xml version="1.0" encoding="utf-8"?>
<formControlPr xmlns="http://schemas.microsoft.com/office/spreadsheetml/2009/9/main" objectType="CheckBox" fmlaLink="'Datos ensayos LUM.'!$T$29" lockText="1" noThreeD="1"/>
</file>

<file path=xl/ctrlProps/ctrlProp127.xml><?xml version="1.0" encoding="utf-8"?>
<formControlPr xmlns="http://schemas.microsoft.com/office/spreadsheetml/2009/9/main" objectType="CheckBox" fmlaLink="'Datos ensayos LUM.'!$AB$20" lockText="1" noThreeD="1"/>
</file>

<file path=xl/ctrlProps/ctrlProp128.xml><?xml version="1.0" encoding="utf-8"?>
<formControlPr xmlns="http://schemas.microsoft.com/office/spreadsheetml/2009/9/main" objectType="CheckBox" fmlaLink="'Datos ensayos LUM.'!$AB$22" lockText="1" noThreeD="1"/>
</file>

<file path=xl/ctrlProps/ctrlProp129.xml><?xml version="1.0" encoding="utf-8"?>
<formControlPr xmlns="http://schemas.microsoft.com/office/spreadsheetml/2009/9/main" objectType="CheckBox" fmlaLink="'Datos ensayos LUM.'!$AB$27" lockText="1" noThreeD="1"/>
</file>

<file path=xl/ctrlProps/ctrlProp130.xml><?xml version="1.0" encoding="utf-8"?>
<formControlPr xmlns="http://schemas.microsoft.com/office/spreadsheetml/2009/9/main" objectType="CheckBox" fmlaLink="'Datos ensayos LUM.'!$AB$49" lockText="1" noThreeD="1"/>
</file>

<file path=xl/ctrlProps/ctrlProp131.xml><?xml version="1.0" encoding="utf-8"?>
<formControlPr xmlns="http://schemas.microsoft.com/office/spreadsheetml/2009/9/main" objectType="CheckBox" fmlaLink="'Datos ensayos LUM.'!$AB$50" lockText="1" noThreeD="1"/>
</file>

<file path=xl/ctrlProps/ctrlProp132.xml><?xml version="1.0" encoding="utf-8"?>
<formControlPr xmlns="http://schemas.microsoft.com/office/spreadsheetml/2009/9/main" objectType="CheckBox" fmlaLink="'Datos ensayos LUM.'!$AB$51" lockText="1" noThreeD="1"/>
</file>

<file path=xl/ctrlProps/ctrlProp133.xml><?xml version="1.0" encoding="utf-8"?>
<formControlPr xmlns="http://schemas.microsoft.com/office/spreadsheetml/2009/9/main" objectType="CheckBox" fmlaLink="'Datos ensayos LUM.'!$AB$52" lockText="1" noThreeD="1"/>
</file>

<file path=xl/ctrlProps/ctrlProp134.xml><?xml version="1.0" encoding="utf-8"?>
<formControlPr xmlns="http://schemas.microsoft.com/office/spreadsheetml/2009/9/main" objectType="CheckBox" fmlaLink="'Datos ensayos LUM.'!$AB$44" lockText="1" noThreeD="1"/>
</file>

<file path=xl/ctrlProps/ctrlProp135.xml><?xml version="1.0" encoding="utf-8"?>
<formControlPr xmlns="http://schemas.microsoft.com/office/spreadsheetml/2009/9/main" objectType="CheckBox" fmlaLink="'Datos ensayos LUM.'!$AJ$23" lockText="1" noThreeD="1"/>
</file>

<file path=xl/ctrlProps/ctrlProp136.xml><?xml version="1.0" encoding="utf-8"?>
<formControlPr xmlns="http://schemas.microsoft.com/office/spreadsheetml/2009/9/main" objectType="CheckBox" fmlaLink="'Datos ensayos LUM.'!$AJ$24" lockText="1" noThreeD="1"/>
</file>

<file path=xl/ctrlProps/ctrlProp137.xml><?xml version="1.0" encoding="utf-8"?>
<formControlPr xmlns="http://schemas.microsoft.com/office/spreadsheetml/2009/9/main" objectType="CheckBox" fmlaLink="'Datos ensayos LUM.'!$AJ$34" lockText="1" noThreeD="1"/>
</file>

<file path=xl/ctrlProps/ctrlProp138.xml><?xml version="1.0" encoding="utf-8"?>
<formControlPr xmlns="http://schemas.microsoft.com/office/spreadsheetml/2009/9/main" objectType="CheckBox" fmlaLink="'Datos ensayos LUM.'!$AJ$35" lockText="1" noThreeD="1"/>
</file>

<file path=xl/ctrlProps/ctrlProp139.xml><?xml version="1.0" encoding="utf-8"?>
<formControlPr xmlns="http://schemas.microsoft.com/office/spreadsheetml/2009/9/main" objectType="CheckBox" fmlaLink="'Datos ensayos LUM.'!$AJ$26" lockText="1" noThreeD="1"/>
</file>

<file path=xl/ctrlProps/ctrlProp140.xml><?xml version="1.0" encoding="utf-8"?>
<formControlPr xmlns="http://schemas.microsoft.com/office/spreadsheetml/2009/9/main" objectType="CheckBox" fmlaLink="'Datos ensayos LUM.'!$AJ$33"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fmlaLink="'Datos ensayos LUM.'!$AJ$20" lockText="1" noThreeD="1"/>
</file>

<file path=xl/ctrlProps/ctrlProp143.xml><?xml version="1.0" encoding="utf-8"?>
<formControlPr xmlns="http://schemas.microsoft.com/office/spreadsheetml/2009/9/main" objectType="CheckBox" fmlaLink="'Datos ensayos LUM.'!$AJ$41" lockText="1" noThreeD="1"/>
</file>

<file path=xl/ctrlProps/ctrlProp144.xml><?xml version="1.0" encoding="utf-8"?>
<formControlPr xmlns="http://schemas.microsoft.com/office/spreadsheetml/2009/9/main" objectType="CheckBox" fmlaLink="'Datos ensayos LUM.'!$AJ$46" lockText="1" noThreeD="1"/>
</file>

<file path=xl/ctrlProps/ctrlProp145.xml><?xml version="1.0" encoding="utf-8"?>
<formControlPr xmlns="http://schemas.microsoft.com/office/spreadsheetml/2009/9/main" objectType="CheckBox" fmlaLink="'Datos ensayos LUM.'!$AJ$51" lockText="1" noThreeD="1"/>
</file>

<file path=xl/ctrlProps/ctrlProp146.xml><?xml version="1.0" encoding="utf-8"?>
<formControlPr xmlns="http://schemas.microsoft.com/office/spreadsheetml/2009/9/main" objectType="CheckBox" fmlaLink="'Datos ensayos LUM.'!$AJ$56" lockText="1" noThreeD="1"/>
</file>

<file path=xl/ctrlProps/ctrlProp147.xml><?xml version="1.0" encoding="utf-8"?>
<formControlPr xmlns="http://schemas.microsoft.com/office/spreadsheetml/2009/9/main" objectType="CheckBox" fmlaLink="'Datos ensayos LUM.'!$AR$20" lockText="1" noThreeD="1"/>
</file>

<file path=xl/ctrlProps/ctrlProp148.xml><?xml version="1.0" encoding="utf-8"?>
<formControlPr xmlns="http://schemas.microsoft.com/office/spreadsheetml/2009/9/main" objectType="CheckBox" fmlaLink="'Datos ensayos LUM.'!$AR$54" lockText="1" noThreeD="1"/>
</file>

<file path=xl/ctrlProps/ctrlProp149.xml><?xml version="1.0" encoding="utf-8"?>
<formControlPr xmlns="http://schemas.microsoft.com/office/spreadsheetml/2009/9/main" objectType="CheckBox" fmlaLink="'Datos ensayos LUM.'!$AR$66" lockText="1" noThreeD="1"/>
</file>

<file path=xl/ctrlProps/ctrlProp150.xml><?xml version="1.0" encoding="utf-8"?>
<formControlPr xmlns="http://schemas.microsoft.com/office/spreadsheetml/2009/9/main" objectType="CheckBox" fmlaLink="'Datos ensayos LUM.'!$AR$75" lockText="1" noThreeD="1"/>
</file>

<file path=xl/ctrlProps/ctrlProp151.xml><?xml version="1.0" encoding="utf-8"?>
<formControlPr xmlns="http://schemas.microsoft.com/office/spreadsheetml/2009/9/main" objectType="CheckBox" fmlaLink="'Datos ensayos LUM.'!$BE$28" lockText="1" noThreeD="1"/>
</file>

<file path=xl/ctrlProps/ctrlProp152.xml><?xml version="1.0" encoding="utf-8"?>
<formControlPr xmlns="http://schemas.microsoft.com/office/spreadsheetml/2009/9/main" objectType="CheckBox" fmlaLink="'Datos ensayos LUM.'!$BF$26" lockText="1" noThreeD="1"/>
</file>

<file path=xl/ctrlProps/ctrlProp153.xml><?xml version="1.0" encoding="utf-8"?>
<formControlPr xmlns="http://schemas.microsoft.com/office/spreadsheetml/2009/9/main" objectType="CheckBox" fmlaLink="'Datos ensayos LUM.'!$BF$28" lockText="1" noThreeD="1"/>
</file>

<file path=xl/ctrlProps/ctrlProp154.xml><?xml version="1.0" encoding="utf-8"?>
<formControlPr xmlns="http://schemas.microsoft.com/office/spreadsheetml/2009/9/main" objectType="CheckBox" checked="Checked" fmlaLink="'Datos ensayos LUM.'!$BF$24" lockText="1" noThreeD="1"/>
</file>

<file path=xl/ctrlProps/ctrlProp155.xml><?xml version="1.0" encoding="utf-8"?>
<formControlPr xmlns="http://schemas.microsoft.com/office/spreadsheetml/2009/9/main" objectType="CheckBox" checked="Checked" fmlaLink="'Datos ensayos LUM.'!$BG$27" lockText="1" noThreeD="1"/>
</file>

<file path=xl/ctrlProps/ctrlProp156.xml><?xml version="1.0" encoding="utf-8"?>
<formControlPr xmlns="http://schemas.microsoft.com/office/spreadsheetml/2009/9/main" objectType="CheckBox" fmlaLink="'Datos ensayos LUM.'!$BG$25" lockText="1" noThreeD="1"/>
</file>

<file path=xl/ctrlProps/ctrlProp157.xml><?xml version="1.0" encoding="utf-8"?>
<formControlPr xmlns="http://schemas.microsoft.com/office/spreadsheetml/2009/9/main" objectType="CheckBox" fmlaLink="'Datos ensayos LUM.'!$BE$20" lockText="1" noThreeD="1"/>
</file>

<file path=xl/ctrlProps/ctrlProp158.xml><?xml version="1.0" encoding="utf-8"?>
<formControlPr xmlns="http://schemas.microsoft.com/office/spreadsheetml/2009/9/main" objectType="CheckBox" fmlaLink="'Datos ensayos LUM.'!$BE$38" lockText="1" noThreeD="1"/>
</file>

<file path=xl/ctrlProps/ctrlProp159.xml><?xml version="1.0" encoding="utf-8"?>
<formControlPr xmlns="http://schemas.microsoft.com/office/spreadsheetml/2009/9/main" objectType="CheckBox" fmlaLink="'Datos ensayos LUM.'!$BE$46" lockText="1" noThreeD="1"/>
</file>

<file path=xl/ctrlProps/ctrlProp160.xml><?xml version="1.0" encoding="utf-8"?>
<formControlPr xmlns="http://schemas.microsoft.com/office/spreadsheetml/2009/9/main" objectType="CheckBox" fmlaLink="'Datos ensayos LUM.'!$BE$54" lockText="1" noThreeD="1"/>
</file>

<file path=xl/ctrlProps/ctrlProp161.xml><?xml version="1.0" encoding="utf-8"?>
<formControlPr xmlns="http://schemas.microsoft.com/office/spreadsheetml/2009/9/main" objectType="CheckBox" fmlaLink="'Datos ensayos LUM.'!$BN$20" lockText="1" noThreeD="1"/>
</file>

<file path=xl/ctrlProps/ctrlProp162.xml><?xml version="1.0" encoding="utf-8"?>
<formControlPr xmlns="http://schemas.microsoft.com/office/spreadsheetml/2009/9/main" objectType="CheckBox" fmlaLink="'Datos ensayos LUM.'!$BN$22" lockText="1" noThreeD="1"/>
</file>

<file path=xl/ctrlProps/ctrlProp163.xml><?xml version="1.0" encoding="utf-8"?>
<formControlPr xmlns="http://schemas.microsoft.com/office/spreadsheetml/2009/9/main" objectType="CheckBox" fmlaLink="'Datos ensayos LUM.'!$BN$23" lockText="1" noThreeD="1"/>
</file>

<file path=xl/ctrlProps/ctrlProp164.xml><?xml version="1.0" encoding="utf-8"?>
<formControlPr xmlns="http://schemas.microsoft.com/office/spreadsheetml/2009/9/main" objectType="CheckBox" fmlaLink="'Datos ensayos LUM.'!$BW$53" lockText="1" noThreeD="1"/>
</file>

<file path=xl/ctrlProps/ctrlProp165.xml><?xml version="1.0" encoding="utf-8"?>
<formControlPr xmlns="http://schemas.microsoft.com/office/spreadsheetml/2009/9/main" objectType="CheckBox" fmlaLink="'Datos ensayos LUM.'!$BW$54" lockText="1" noThreeD="1"/>
</file>

<file path=xl/ctrlProps/ctrlProp166.xml><?xml version="1.0" encoding="utf-8"?>
<formControlPr xmlns="http://schemas.microsoft.com/office/spreadsheetml/2009/9/main" objectType="CheckBox" fmlaLink="'Datos ensayos LUM.'!$BW$55" lockText="1" noThreeD="1"/>
</file>

<file path=xl/ctrlProps/ctrlProp167.xml><?xml version="1.0" encoding="utf-8"?>
<formControlPr xmlns="http://schemas.microsoft.com/office/spreadsheetml/2009/9/main" objectType="CheckBox" fmlaLink="'Datos ensayos LUM.'!$BW$56" lockText="1" noThreeD="1"/>
</file>

<file path=xl/ctrlProps/ctrlProp168.xml><?xml version="1.0" encoding="utf-8"?>
<formControlPr xmlns="http://schemas.microsoft.com/office/spreadsheetml/2009/9/main" objectType="CheckBox" fmlaLink="'Datos ensayos LUM.'!$BW$37" lockText="1" noThreeD="1"/>
</file>

<file path=xl/ctrlProps/ctrlProp169.xml><?xml version="1.0" encoding="utf-8"?>
<formControlPr xmlns="http://schemas.microsoft.com/office/spreadsheetml/2009/9/main" objectType="CheckBox" fmlaLink="'Datos ensayos LUM.'!$BW$38" lockText="1" noThreeD="1"/>
</file>

<file path=xl/ctrlProps/ctrlProp170.xml><?xml version="1.0" encoding="utf-8"?>
<formControlPr xmlns="http://schemas.microsoft.com/office/spreadsheetml/2009/9/main" objectType="CheckBox" fmlaLink="'Datos ensayos LUM.'!$BW$39" lockText="1" noThreeD="1"/>
</file>

<file path=xl/ctrlProps/ctrlProp171.xml><?xml version="1.0" encoding="utf-8"?>
<formControlPr xmlns="http://schemas.microsoft.com/office/spreadsheetml/2009/9/main" objectType="CheckBox" fmlaLink="'Datos ensayos LUM.'!$BW$40" lockText="1" noThreeD="1"/>
</file>

<file path=xl/ctrlProps/ctrlProp172.xml><?xml version="1.0" encoding="utf-8"?>
<formControlPr xmlns="http://schemas.microsoft.com/office/spreadsheetml/2009/9/main" objectType="CheckBox" fmlaLink="'Datos ensayos LUM.'!$BW$20" lockText="1" noThreeD="1"/>
</file>

<file path=xl/ctrlProps/ctrlProp173.xml><?xml version="1.0" encoding="utf-8"?>
<formControlPr xmlns="http://schemas.microsoft.com/office/spreadsheetml/2009/9/main" objectType="CheckBox" fmlaLink="'Datos ensayos LUM.'!$BW$22" lockText="1" noThreeD="1"/>
</file>

<file path=xl/ctrlProps/ctrlProp174.xml><?xml version="1.0" encoding="utf-8"?>
<formControlPr xmlns="http://schemas.microsoft.com/office/spreadsheetml/2009/9/main" objectType="CheckBox" fmlaLink="'Datos ensayos LUM.'!$BW$30" lockText="1" noThreeD="1"/>
</file>

<file path=xl/ctrlProps/ctrlProp175.xml><?xml version="1.0" encoding="utf-8"?>
<formControlPr xmlns="http://schemas.microsoft.com/office/spreadsheetml/2009/9/main" objectType="CheckBox" fmlaLink="'Datos ensayos LUM.'!$BW$46" lockText="1" noThreeD="1"/>
</file>

<file path=xl/ctrlProps/ctrlProp176.xml><?xml version="1.0" encoding="utf-8"?>
<formControlPr xmlns="http://schemas.microsoft.com/office/spreadsheetml/2009/9/main" objectType="CheckBox" fmlaLink="'Datos ensayos LUM.'!$BW$62" lockText="1" noThreeD="1"/>
</file>

<file path=xl/ctrlProps/ctrlProp177.xml><?xml version="1.0" encoding="utf-8"?>
<formControlPr xmlns="http://schemas.microsoft.com/office/spreadsheetml/2009/9/main" objectType="CheckBox" fmlaLink="'Datos ensayos LUM.'!$CF$26" lockText="1" noThreeD="1"/>
</file>

<file path=xl/ctrlProps/ctrlProp178.xml><?xml version="1.0" encoding="utf-8"?>
<formControlPr xmlns="http://schemas.microsoft.com/office/spreadsheetml/2009/9/main" objectType="CheckBox" fmlaLink="'Datos ensayos LUM.'!$CG$26" lockText="1" noThreeD="1"/>
</file>

<file path=xl/ctrlProps/ctrlProp179.xml><?xml version="1.0" encoding="utf-8"?>
<formControlPr xmlns="http://schemas.microsoft.com/office/spreadsheetml/2009/9/main" objectType="CheckBox" fmlaLink="'Datos ensayos LUM.'!$CH$26" lockText="1" noThreeD="1"/>
</file>

<file path=xl/ctrlProps/ctrlProp180.xml><?xml version="1.0" encoding="utf-8"?>
<formControlPr xmlns="http://schemas.microsoft.com/office/spreadsheetml/2009/9/main" objectType="CheckBox" fmlaLink="'Datos ensayos LUM.'!$CF$22" lockText="1" noThreeD="1"/>
</file>

<file path=xl/ctrlProps/ctrlProp181.xml><?xml version="1.0" encoding="utf-8"?>
<formControlPr xmlns="http://schemas.microsoft.com/office/spreadsheetml/2009/9/main" objectType="CheckBox" fmlaLink="'Datos ensayos LUM.'!$CF$36" lockText="1" noThreeD="1"/>
</file>

<file path=xl/ctrlProps/ctrlProp182.xml><?xml version="1.0" encoding="utf-8"?>
<formControlPr xmlns="http://schemas.microsoft.com/office/spreadsheetml/2009/9/main" objectType="CheckBox" fmlaLink="'Datos ensayos LUM.'!$CF$44" lockText="1" noThreeD="1"/>
</file>

<file path=xl/ctrlProps/ctrlProp183.xml><?xml version="1.0" encoding="utf-8"?>
<formControlPr xmlns="http://schemas.microsoft.com/office/spreadsheetml/2009/9/main" objectType="CheckBox" fmlaLink="'Datos ensayos LUM.'!$CF$70" lockText="1" noThreeD="1"/>
</file>

<file path=xl/ctrlProps/ctrlProp184.xml><?xml version="1.0" encoding="utf-8"?>
<formControlPr xmlns="http://schemas.microsoft.com/office/spreadsheetml/2009/9/main" objectType="CheckBox" fmlaLink="'Datos ensayos LUM.'!$CF$52" lockText="1" noThreeD="1"/>
</file>

<file path=xl/ctrlProps/ctrlProp185.xml><?xml version="1.0" encoding="utf-8"?>
<formControlPr xmlns="http://schemas.microsoft.com/office/spreadsheetml/2009/9/main" objectType="CheckBox" fmlaLink="'Datos ensayos LUM.'!$CM$46" lockText="1" noThreeD="1"/>
</file>

<file path=xl/ctrlProps/ctrlProp186.xml><?xml version="1.0" encoding="utf-8"?>
<formControlPr xmlns="http://schemas.microsoft.com/office/spreadsheetml/2009/9/main" objectType="CheckBox" fmlaLink="'Datos ensayos LUM.'!$CM$54" lockText="1" noThreeD="1"/>
</file>

<file path=xl/ctrlProps/ctrlProp187.xml><?xml version="1.0" encoding="utf-8"?>
<formControlPr xmlns="http://schemas.microsoft.com/office/spreadsheetml/2009/9/main" objectType="CheckBox" fmlaLink="'Datos ensayos LUM.'!$CM$37" lockText="1" noThreeD="1"/>
</file>

<file path=xl/ctrlProps/ctrlProp188.xml><?xml version="1.0" encoding="utf-8"?>
<formControlPr xmlns="http://schemas.microsoft.com/office/spreadsheetml/2009/9/main" objectType="CheckBox" fmlaLink="'Datos ensayos LUM.'!$L$15" lockText="1" noThreeD="1"/>
</file>

<file path=xl/ctrlProps/ctrlProp189.xml><?xml version="1.0" encoding="utf-8"?>
<formControlPr xmlns="http://schemas.microsoft.com/office/spreadsheetml/2009/9/main" objectType="CheckBox" fmlaLink="'Datos ensayos LUM.'!$L$16" lockText="1" noThreeD="1"/>
</file>

<file path=xl/ctrlProps/ctrlProp190.xml><?xml version="1.0" encoding="utf-8"?>
<formControlPr xmlns="http://schemas.microsoft.com/office/spreadsheetml/2009/9/main" objectType="CheckBox" fmlaLink="'Datos ensayos LUM.'!$L$13" lockText="1" noThreeD="1"/>
</file>

<file path=xl/ctrlProps/ctrlProp191.xml><?xml version="1.0" encoding="utf-8"?>
<formControlPr xmlns="http://schemas.microsoft.com/office/spreadsheetml/2009/9/main" objectType="CheckBox" fmlaLink="'Datos ensayos LUM.'!$L$14" lockText="1" noThreeD="1"/>
</file>

<file path=xl/ctrlProps/ctrlProp192.xml><?xml version="1.0" encoding="utf-8"?>
<formControlPr xmlns="http://schemas.microsoft.com/office/spreadsheetml/2009/9/main" objectType="CheckBox" fmlaLink="'Datos ensayos LUM.'!$CM$70" lockText="1" noThreeD="1"/>
</file>

<file path=xl/ctrlProps/ctrlProp193.xml><?xml version="1.0" encoding="utf-8"?>
<formControlPr xmlns="http://schemas.microsoft.com/office/spreadsheetml/2009/9/main" objectType="CheckBox" fmlaLink="'Datos ensayos LUM.'!$CM$78" lockText="1" noThreeD="1"/>
</file>

<file path=xl/ctrlProps/ctrlProp194.xml><?xml version="1.0" encoding="utf-8"?>
<formControlPr xmlns="http://schemas.microsoft.com/office/spreadsheetml/2009/9/main" objectType="CheckBox" fmlaLink="'Datos ensayos LUM.'!$CM$91" lockText="1" noThreeD="1"/>
</file>

<file path=xl/ctrlProps/ctrlProp195.xml><?xml version="1.0" encoding="utf-8"?>
<formControlPr xmlns="http://schemas.microsoft.com/office/spreadsheetml/2009/9/main" objectType="CheckBox" fmlaLink="'Datos ensayos LUM.'!$CF$91" lockText="1" noThreeD="1"/>
</file>

<file path=xl/ctrlProps/ctrlProp196.xml><?xml version="1.0" encoding="utf-8"?>
<formControlPr xmlns="http://schemas.microsoft.com/office/spreadsheetml/2009/9/main" objectType="CheckBox" fmlaLink="'Datos ensayos LUM.'!$CF$100" lockText="1" noThreeD="1"/>
</file>

<file path=xl/ctrlProps/ctrlProp197.xml><?xml version="1.0" encoding="utf-8"?>
<formControlPr xmlns="http://schemas.microsoft.com/office/spreadsheetml/2009/9/main" objectType="CheckBox" fmlaLink="'Datos ensayos LUM.'!$CF$135" lockText="1" noThreeD="1"/>
</file>

<file path=xl/ctrlProps/ctrlProp198.xml><?xml version="1.0" encoding="utf-8"?>
<formControlPr xmlns="http://schemas.microsoft.com/office/spreadsheetml/2009/9/main" objectType="CheckBox" fmlaLink="'Datos ensayos LUM.'!$CF$134" lockText="1" noThreeD="1"/>
</file>

<file path=xl/ctrlProps/ctrlProp199.xml><?xml version="1.0" encoding="utf-8"?>
<formControlPr xmlns="http://schemas.microsoft.com/office/spreadsheetml/2009/9/main" objectType="CheckBox" fmlaLink="'Datos ensayos LUM.'!$CF$145" lockText="1" noThreeD="1"/>
</file>

<file path=xl/ctrlProps/ctrlProp200.xml><?xml version="1.0" encoding="utf-8"?>
<formControlPr xmlns="http://schemas.microsoft.com/office/spreadsheetml/2009/9/main" objectType="CheckBox" fmlaLink="'Datos ensayos LUM.'!$BN$41" lockText="1" noThreeD="1"/>
</file>

<file path=xl/ctrlProps/ctrlProp201.xml><?xml version="1.0" encoding="utf-8"?>
<formControlPr xmlns="http://schemas.microsoft.com/office/spreadsheetml/2009/9/main" objectType="CheckBox" fmlaLink="'Datos ensayos LUM.'!$BN$44" lockText="1" noThreeD="1"/>
</file>

<file path=xl/ctrlProps/ctrlProp202.xml><?xml version="1.0" encoding="utf-8"?>
<formControlPr xmlns="http://schemas.microsoft.com/office/spreadsheetml/2009/9/main" objectType="CheckBox" fmlaLink="'Datos ensayos LUM.'!$BN$59" lockText="1" noThreeD="1"/>
</file>

<file path=xl/ctrlProps/ctrlProp203.xml><?xml version="1.0" encoding="utf-8"?>
<formControlPr xmlns="http://schemas.microsoft.com/office/spreadsheetml/2009/9/main" objectType="CheckBox" fmlaLink="'Datos ensayos LUM.'!$BN$66" lockText="1" noThreeD="1"/>
</file>

<file path=xl/ctrlProps/ctrlProp204.xml><?xml version="1.0" encoding="utf-8"?>
<formControlPr xmlns="http://schemas.microsoft.com/office/spreadsheetml/2009/9/main" objectType="CheckBox" fmlaLink="'Datos ensayos LUM.'!$BN$72" lockText="1" noThreeD="1"/>
</file>

<file path=xl/ctrlProps/ctrlProp205.xml><?xml version="1.0" encoding="utf-8"?>
<formControlPr xmlns="http://schemas.microsoft.com/office/spreadsheetml/2009/9/main" objectType="CheckBox" fmlaLink="#REF!" lockText="1" noThreeD="1"/>
</file>

<file path=xl/ctrlProps/ctrlProp206.xml><?xml version="1.0" encoding="utf-8"?>
<formControlPr xmlns="http://schemas.microsoft.com/office/spreadsheetml/2009/9/main" objectType="CheckBox" checked="Checked" fmlaLink="'Datos ensayos LUM.'!$C$190" lockText="1" noThreeD="1"/>
</file>

<file path=xl/ctrlProps/ctrlProp207.xml><?xml version="1.0" encoding="utf-8"?>
<formControlPr xmlns="http://schemas.microsoft.com/office/spreadsheetml/2009/9/main" objectType="CheckBox" fmlaLink="'Datos ensayos LUM.'!$E$190" lockText="1" noThreeD="1"/>
</file>

<file path=xl/ctrlProps/ctrlProp208.xml><?xml version="1.0" encoding="utf-8"?>
<formControlPr xmlns="http://schemas.microsoft.com/office/spreadsheetml/2009/9/main" objectType="CheckBox" fmlaLink="'Datos ensayos LUM.'!$G$190" lockText="1" noThreeD="1"/>
</file>

<file path=xl/ctrlProps/ctrlProp209.xml><?xml version="1.0" encoding="utf-8"?>
<formControlPr xmlns="http://schemas.microsoft.com/office/spreadsheetml/2009/9/main" objectType="CheckBox" fmlaLink="'Datos ensayos LUM.'!$D$109" lockText="1" noThreeD="1"/>
</file>

<file path=xl/ctrlProps/ctrlProp210.xml><?xml version="1.0" encoding="utf-8"?>
<formControlPr xmlns="http://schemas.microsoft.com/office/spreadsheetml/2009/9/main" objectType="CheckBox" fmlaLink="'Datos ensayos LUM.'!$AJ$25" lockText="1" noThreeD="1"/>
</file>

<file path=xl/ctrlProps/ctrlProp211.xml><?xml version="1.0" encoding="utf-8"?>
<formControlPr xmlns="http://schemas.microsoft.com/office/spreadsheetml/2009/9/main" objectType="CheckBox" fmlaLink="'Datos ensayos LUM.'!$AJ$32" lockText="1" noThreeD="1"/>
</file>

<file path=xl/ctrlProps/ctrlProp212.xml><?xml version="1.0" encoding="utf-8"?>
<formControlPr xmlns="http://schemas.microsoft.com/office/spreadsheetml/2009/9/main" objectType="CheckBox" checked="Checked" fmlaLink="'Datos ensayos LUM.'!$BE$24" lockText="1" noThreeD="1"/>
</file>

<file path=xl/ctrlProps/ctrlProp213.xml><?xml version="1.0" encoding="utf-8"?>
<formControlPr xmlns="http://schemas.microsoft.com/office/spreadsheetml/2009/9/main" objectType="CheckBox" checked="Checked" fmlaLink="$F$3" lockText="1" noThreeD="1"/>
</file>

<file path=xl/ctrlProps/ctrlProp214.xml><?xml version="1.0" encoding="utf-8"?>
<formControlPr xmlns="http://schemas.microsoft.com/office/spreadsheetml/2009/9/main" objectType="CheckBox" checked="Checked" fmlaLink="$F$5" lockText="1" noThreeD="1"/>
</file>

<file path=xl/ctrlProps/ctrlProp215.xml><?xml version="1.0" encoding="utf-8"?>
<formControlPr xmlns="http://schemas.microsoft.com/office/spreadsheetml/2009/9/main" objectType="CheckBox" checked="Checked" fmlaLink="$F$6" lockText="1" noThreeD="1"/>
</file>

<file path=xl/ctrlProps/ctrlProp216.xml><?xml version="1.0" encoding="utf-8"?>
<formControlPr xmlns="http://schemas.microsoft.com/office/spreadsheetml/2009/9/main" objectType="CheckBox" checked="Checked" fmlaLink="$F$7" lockText="1" noThreeD="1"/>
</file>

<file path=xl/ctrlProps/ctrlProp217.xml><?xml version="1.0" encoding="utf-8"?>
<formControlPr xmlns="http://schemas.microsoft.com/office/spreadsheetml/2009/9/main" objectType="CheckBox" checked="Checked" fmlaLink="$F$9" lockText="1" noThreeD="1"/>
</file>

<file path=xl/ctrlProps/ctrlProp218.xml><?xml version="1.0" encoding="utf-8"?>
<formControlPr xmlns="http://schemas.microsoft.com/office/spreadsheetml/2009/9/main" objectType="CheckBox" checked="Checked" fmlaLink="$F$20" lockText="1" noThreeD="1"/>
</file>

<file path=xl/ctrlProps/ctrlProp219.xml><?xml version="1.0" encoding="utf-8"?>
<formControlPr xmlns="http://schemas.microsoft.com/office/spreadsheetml/2009/9/main" objectType="CheckBox" checked="Checked" fmlaLink="$F$8" lockText="1" noThreeD="1"/>
</file>

<file path=xl/ctrlProps/ctrlProp220.xml><?xml version="1.0" encoding="utf-8"?>
<formControlPr xmlns="http://schemas.microsoft.com/office/spreadsheetml/2009/9/main" objectType="CheckBox" checked="Checked" fmlaLink="$F$21" lockText="1" noThreeD="1"/>
</file>

<file path=xl/ctrlProps/ctrlProp221.xml><?xml version="1.0" encoding="utf-8"?>
<formControlPr xmlns="http://schemas.microsoft.com/office/spreadsheetml/2009/9/main" objectType="CheckBox" checked="Checked" fmlaLink="$F$22" lockText="1" noThreeD="1"/>
</file>

<file path=xl/ctrlProps/ctrlProp222.xml><?xml version="1.0" encoding="utf-8"?>
<formControlPr xmlns="http://schemas.microsoft.com/office/spreadsheetml/2009/9/main" objectType="GBox" noThreeD="1"/>
</file>

<file path=xl/ctrlProps/ctrlProp223.xml><?xml version="1.0" encoding="utf-8"?>
<formControlPr xmlns="http://schemas.microsoft.com/office/spreadsheetml/2009/9/main" objectType="Radio" firstButton="1" fmlaLink="G11" lockText="1" noThreeD="1"/>
</file>

<file path=xl/ctrlProps/ctrlProp224.xml><?xml version="1.0" encoding="utf-8"?>
<formControlPr xmlns="http://schemas.microsoft.com/office/spreadsheetml/2009/9/main" objectType="Radio" checked="Checked" lockText="1" noThreeD="1"/>
</file>

<file path=xl/ctrlProps/ctrlProp225.xml><?xml version="1.0" encoding="utf-8"?>
<formControlPr xmlns="http://schemas.microsoft.com/office/spreadsheetml/2009/9/main" objectType="GBox" noThreeD="1"/>
</file>

<file path=xl/ctrlProps/ctrlProp226.xml><?xml version="1.0" encoding="utf-8"?>
<formControlPr xmlns="http://schemas.microsoft.com/office/spreadsheetml/2009/9/main" objectType="Radio" checked="Checked" firstButton="1" fmlaLink="G14" lockText="1" noThreeD="1"/>
</file>

<file path=xl/ctrlProps/ctrlProp227.xml><?xml version="1.0" encoding="utf-8"?>
<formControlPr xmlns="http://schemas.microsoft.com/office/spreadsheetml/2009/9/main" objectType="Radio" lockText="1" noThreeD="1"/>
</file>

<file path=xl/ctrlProps/ctrlProp228.xml><?xml version="1.0" encoding="utf-8"?>
<formControlPr xmlns="http://schemas.microsoft.com/office/spreadsheetml/2009/9/main" objectType="GBox" noThreeD="1"/>
</file>

<file path=xl/ctrlProps/ctrlProp229.xml><?xml version="1.0" encoding="utf-8"?>
<formControlPr xmlns="http://schemas.microsoft.com/office/spreadsheetml/2009/9/main" objectType="Radio" checked="Checked" firstButton="1" fmlaLink="G17" lockText="1" noThreeD="1"/>
</file>

<file path=xl/ctrlProps/ctrlProp230.xml><?xml version="1.0" encoding="utf-8"?>
<formControlPr xmlns="http://schemas.microsoft.com/office/spreadsheetml/2009/9/main" objectType="Radio" lockText="1" noThreeD="1"/>
</file>

<file path=xl/ctrlProps/ctrlProp231.xml><?xml version="1.0" encoding="utf-8"?>
<formControlPr xmlns="http://schemas.microsoft.com/office/spreadsheetml/2009/9/main" objectType="CheckBox" checked="Checked" fmlaLink="F23" lockText="1" noThreeD="1"/>
</file>

<file path=xl/ctrlProps/ctrlProp232.xml><?xml version="1.0" encoding="utf-8"?>
<formControlPr xmlns="http://schemas.microsoft.com/office/spreadsheetml/2009/9/main" objectType="CheckBox" checked="Checked" fmlaLink="F24" lockText="1" noThreeD="1"/>
</file>

<file path=xl/ctrlProps/ctrlProp233.xml><?xml version="1.0" encoding="utf-8"?>
<formControlPr xmlns="http://schemas.microsoft.com/office/spreadsheetml/2009/9/main" objectType="CheckBox" checked="Checked" fmlaLink="F31" lockText="1" noThreeD="1"/>
</file>

<file path=xl/ctrlProps/ctrlProp234.xml><?xml version="1.0" encoding="utf-8"?>
<formControlPr xmlns="http://schemas.microsoft.com/office/spreadsheetml/2009/9/main" objectType="CheckBox" checked="Checked" fmlaLink="F32" lockText="1" noThreeD="1"/>
</file>

<file path=xl/ctrlProps/ctrlProp235.xml><?xml version="1.0" encoding="utf-8"?>
<formControlPr xmlns="http://schemas.microsoft.com/office/spreadsheetml/2009/9/main" objectType="GBox" noThreeD="1"/>
</file>

<file path=xl/ctrlProps/ctrlProp236.xml><?xml version="1.0" encoding="utf-8"?>
<formControlPr xmlns="http://schemas.microsoft.com/office/spreadsheetml/2009/9/main" objectType="Radio" checked="Checked" firstButton="1" fmlaLink="$G$28" lockText="1" noThreeD="1"/>
</file>

<file path=xl/ctrlProps/ctrlProp237.xml><?xml version="1.0" encoding="utf-8"?>
<formControlPr xmlns="http://schemas.microsoft.com/office/spreadsheetml/2009/9/main" objectType="Radio" lockText="1" noThreeD="1"/>
</file>

<file path=xl/ctrlProps/ctrlProp238.xml><?xml version="1.0" encoding="utf-8"?>
<formControlPr xmlns="http://schemas.microsoft.com/office/spreadsheetml/2009/9/main" objectType="CheckBox" checked="Checked" fmlaLink="F33" lockText="1" noThreeD="1"/>
</file>

<file path=xl/ctrlProps/ctrlProp239.xml><?xml version="1.0" encoding="utf-8"?>
<formControlPr xmlns="http://schemas.microsoft.com/office/spreadsheetml/2009/9/main" objectType="CheckBox" checked="Checked" fmlaLink="F40" lockText="1" noThreeD="1"/>
</file>

<file path=xl/ctrlProps/ctrlProp240.xml><?xml version="1.0" encoding="utf-8"?>
<formControlPr xmlns="http://schemas.microsoft.com/office/spreadsheetml/2009/9/main" objectType="CheckBox" checked="Checked" fmlaLink="F48" lockText="1" noThreeD="1"/>
</file>

<file path=xl/ctrlProps/ctrlProp241.xml><?xml version="1.0" encoding="utf-8"?>
<formControlPr xmlns="http://schemas.microsoft.com/office/spreadsheetml/2009/9/main" objectType="GBox" noThreeD="1"/>
</file>

<file path=xl/ctrlProps/ctrlProp242.xml><?xml version="1.0" encoding="utf-8"?>
<formControlPr xmlns="http://schemas.microsoft.com/office/spreadsheetml/2009/9/main" objectType="Radio" firstButton="1" fmlaLink="G43" lockText="1" noThreeD="1"/>
</file>

<file path=xl/ctrlProps/ctrlProp243.xml><?xml version="1.0" encoding="utf-8"?>
<formControlPr xmlns="http://schemas.microsoft.com/office/spreadsheetml/2009/9/main" objectType="Radio" checked="Checked" lockText="1" noThreeD="1"/>
</file>

<file path=xl/ctrlProps/ctrlProp244.xml><?xml version="1.0" encoding="utf-8"?>
<formControlPr xmlns="http://schemas.microsoft.com/office/spreadsheetml/2009/9/main" objectType="GBox" noThreeD="1"/>
</file>

<file path=xl/ctrlProps/ctrlProp245.xml><?xml version="1.0" encoding="utf-8"?>
<formControlPr xmlns="http://schemas.microsoft.com/office/spreadsheetml/2009/9/main" objectType="Radio" firstButton="1" fmlaLink="G46" lockText="1" noThreeD="1"/>
</file>

<file path=xl/ctrlProps/ctrlProp246.xml><?xml version="1.0" encoding="utf-8"?>
<formControlPr xmlns="http://schemas.microsoft.com/office/spreadsheetml/2009/9/main" objectType="Radio" checked="Checked" lockText="1" noThreeD="1"/>
</file>

<file path=xl/ctrlProps/ctrlProp247.xml><?xml version="1.0" encoding="utf-8"?>
<formControlPr xmlns="http://schemas.microsoft.com/office/spreadsheetml/2009/9/main" objectType="CheckBox" checked="Checked" fmlaLink="F49" lockText="1" noThreeD="1"/>
</file>

<file path=xl/ctrlProps/ctrlProp248.xml><?xml version="1.0" encoding="utf-8"?>
<formControlPr xmlns="http://schemas.microsoft.com/office/spreadsheetml/2009/9/main" objectType="GBox" noThreeD="1"/>
</file>

<file path=xl/ctrlProps/ctrlProp249.xml><?xml version="1.0" encoding="utf-8"?>
<formControlPr xmlns="http://schemas.microsoft.com/office/spreadsheetml/2009/9/main" objectType="Radio" firstButton="1" fmlaLink="G53" lockText="1" noThreeD="1"/>
</file>

<file path=xl/ctrlProps/ctrlProp250.xml><?xml version="1.0" encoding="utf-8"?>
<formControlPr xmlns="http://schemas.microsoft.com/office/spreadsheetml/2009/9/main" objectType="Radio" lockText="1" noThreeD="1"/>
</file>

<file path=xl/ctrlProps/ctrlProp251.xml><?xml version="1.0" encoding="utf-8"?>
<formControlPr xmlns="http://schemas.microsoft.com/office/spreadsheetml/2009/9/main" objectType="Radio" checked="Checked" lockText="1" noThreeD="1"/>
</file>

<file path=xl/ctrlProps/ctrlProp252.xml><?xml version="1.0" encoding="utf-8"?>
<formControlPr xmlns="http://schemas.microsoft.com/office/spreadsheetml/2009/9/main" objectType="GBox" noThreeD="1"/>
</file>

<file path=xl/ctrlProps/ctrlProp253.xml><?xml version="1.0" encoding="utf-8"?>
<formControlPr xmlns="http://schemas.microsoft.com/office/spreadsheetml/2009/9/main" objectType="Radio" firstButton="1" fmlaLink="G59" lockText="1" noThreeD="1"/>
</file>

<file path=xl/ctrlProps/ctrlProp254.xml><?xml version="1.0" encoding="utf-8"?>
<formControlPr xmlns="http://schemas.microsoft.com/office/spreadsheetml/2009/9/main" objectType="Radio" checked="Checked" lockText="1" noThreeD="1"/>
</file>

<file path=xl/ctrlProps/ctrlProp255.xml><?xml version="1.0" encoding="utf-8"?>
<formControlPr xmlns="http://schemas.microsoft.com/office/spreadsheetml/2009/9/main" objectType="CheckBox" checked="Checked" fmlaLink="F55" lockText="1" noThreeD="1"/>
</file>

<file path=xl/ctrlProps/ctrlProp256.xml><?xml version="1.0" encoding="utf-8"?>
<formControlPr xmlns="http://schemas.microsoft.com/office/spreadsheetml/2009/9/main" objectType="CheckBox" checked="Checked" fmlaLink="F56" lockText="1" noThreeD="1"/>
</file>

<file path=xl/ctrlProps/ctrlProp257.xml><?xml version="1.0" encoding="utf-8"?>
<formControlPr xmlns="http://schemas.microsoft.com/office/spreadsheetml/2009/9/main" objectType="CheckBox" checked="Checked" fmlaLink="F61" lockText="1" noThreeD="1"/>
</file>

<file path=xl/ctrlProps/ctrlProp258.xml><?xml version="1.0" encoding="utf-8"?>
<formControlPr xmlns="http://schemas.microsoft.com/office/spreadsheetml/2009/9/main" objectType="GBox" noThreeD="1"/>
</file>

<file path=xl/ctrlProps/ctrlProp259.xml><?xml version="1.0" encoding="utf-8"?>
<formControlPr xmlns="http://schemas.microsoft.com/office/spreadsheetml/2009/9/main" objectType="Radio" firstButton="1" fmlaLink="G62" lockText="1" noThreeD="1"/>
</file>

<file path=xl/ctrlProps/ctrlProp260.xml><?xml version="1.0" encoding="utf-8"?>
<formControlPr xmlns="http://schemas.microsoft.com/office/spreadsheetml/2009/9/main" objectType="Radio" checked="Checked" lockText="1" noThreeD="1"/>
</file>

<file path=xl/ctrlProps/ctrlProp261.xml><?xml version="1.0" encoding="utf-8"?>
<formControlPr xmlns="http://schemas.microsoft.com/office/spreadsheetml/2009/9/main" objectType="CheckBox" checked="Checked" fmlaLink="F66" lockText="1" noThreeD="1"/>
</file>

<file path=xl/ctrlProps/ctrlProp262.xml><?xml version="1.0" encoding="utf-8"?>
<formControlPr xmlns="http://schemas.microsoft.com/office/spreadsheetml/2009/9/main" objectType="GBox" noThreeD="1"/>
</file>

<file path=xl/ctrlProps/ctrlProp263.xml><?xml version="1.0" encoding="utf-8"?>
<formControlPr xmlns="http://schemas.microsoft.com/office/spreadsheetml/2009/9/main" objectType="Radio" firstButton="1" fmlaLink="G68" lockText="1" noThreeD="1"/>
</file>

<file path=xl/ctrlProps/ctrlProp264.xml><?xml version="1.0" encoding="utf-8"?>
<formControlPr xmlns="http://schemas.microsoft.com/office/spreadsheetml/2009/9/main" objectType="Radio" checked="Checked" lockText="1" noThreeD="1"/>
</file>

<file path=xl/ctrlProps/ctrlProp265.xml><?xml version="1.0" encoding="utf-8"?>
<formControlPr xmlns="http://schemas.microsoft.com/office/spreadsheetml/2009/9/main" objectType="CheckBox" checked="Checked" fmlaLink="F72" lockText="1" noThreeD="1"/>
</file>

<file path=xl/ctrlProps/ctrlProp266.xml><?xml version="1.0" encoding="utf-8"?>
<formControlPr xmlns="http://schemas.microsoft.com/office/spreadsheetml/2009/9/main" objectType="CheckBox" checked="Checked" fmlaLink="F73" lockText="1" noThreeD="1"/>
</file>

<file path=xl/ctrlProps/ctrlProp267.xml><?xml version="1.0" encoding="utf-8"?>
<formControlPr xmlns="http://schemas.microsoft.com/office/spreadsheetml/2009/9/main" objectType="GBox" noThreeD="1"/>
</file>

<file path=xl/ctrlProps/ctrlProp268.xml><?xml version="1.0" encoding="utf-8"?>
<formControlPr xmlns="http://schemas.microsoft.com/office/spreadsheetml/2009/9/main" objectType="Radio" firstButton="1" fmlaLink="G75" lockText="1" noThreeD="1"/>
</file>

<file path=xl/ctrlProps/ctrlProp269.xml><?xml version="1.0" encoding="utf-8"?>
<formControlPr xmlns="http://schemas.microsoft.com/office/spreadsheetml/2009/9/main" objectType="Radio" checked="Checked" lockText="1" noThreeD="1"/>
</file>

<file path=xl/ctrlProps/ctrlProp270.xml><?xml version="1.0" encoding="utf-8"?>
<formControlPr xmlns="http://schemas.microsoft.com/office/spreadsheetml/2009/9/main" objectType="Radio" lockText="1" noThreeD="1"/>
</file>

<file path=xl/ctrlProps/ctrlProp271.xml><?xml version="1.0" encoding="utf-8"?>
<formControlPr xmlns="http://schemas.microsoft.com/office/spreadsheetml/2009/9/main" objectType="GBox" noThreeD="1"/>
</file>

<file path=xl/ctrlProps/ctrlProp272.xml><?xml version="1.0" encoding="utf-8"?>
<formControlPr xmlns="http://schemas.microsoft.com/office/spreadsheetml/2009/9/main" objectType="Radio" checked="Checked" firstButton="1" fmlaLink="G81" lockText="1" noThreeD="1"/>
</file>

<file path=xl/ctrlProps/ctrlProp273.xml><?xml version="1.0" encoding="utf-8"?>
<formControlPr xmlns="http://schemas.microsoft.com/office/spreadsheetml/2009/9/main" objectType="Radio" lockText="1" noThreeD="1"/>
</file>

<file path=xl/ctrlProps/ctrlProp274.xml><?xml version="1.0" encoding="utf-8"?>
<formControlPr xmlns="http://schemas.microsoft.com/office/spreadsheetml/2009/9/main" objectType="Radio" lockText="1" noThreeD="1"/>
</file>

<file path=xl/ctrlProps/ctrlProp275.xml><?xml version="1.0" encoding="utf-8"?>
<formControlPr xmlns="http://schemas.microsoft.com/office/spreadsheetml/2009/9/main" objectType="Radio" lockText="1" noThreeD="1"/>
</file>

<file path=xl/ctrlProps/ctrlProp276.xml><?xml version="1.0" encoding="utf-8"?>
<formControlPr xmlns="http://schemas.microsoft.com/office/spreadsheetml/2009/9/main" objectType="CheckBox" checked="Checked" fmlaLink="F89" lockText="1" noThreeD="1"/>
</file>

<file path=xl/ctrlProps/ctrlProp277.xml><?xml version="1.0" encoding="utf-8"?>
<formControlPr xmlns="http://schemas.microsoft.com/office/spreadsheetml/2009/9/main" objectType="GBox" noThreeD="1"/>
</file>

<file path=xl/ctrlProps/ctrlProp278.xml><?xml version="1.0" encoding="utf-8"?>
<formControlPr xmlns="http://schemas.microsoft.com/office/spreadsheetml/2009/9/main" objectType="Radio" firstButton="1" fmlaLink="G91" lockText="1" noThreeD="1"/>
</file>

<file path=xl/ctrlProps/ctrlProp279.xml><?xml version="1.0" encoding="utf-8"?>
<formControlPr xmlns="http://schemas.microsoft.com/office/spreadsheetml/2009/9/main" objectType="Radio" checked="Checked" lockText="1" noThreeD="1"/>
</file>

<file path=xl/ctrlProps/ctrlProp280.xml><?xml version="1.0" encoding="utf-8"?>
<formControlPr xmlns="http://schemas.microsoft.com/office/spreadsheetml/2009/9/main" objectType="Radio" lockText="1" noThreeD="1"/>
</file>

<file path=xl/ctrlProps/ctrlProp281.xml><?xml version="1.0" encoding="utf-8"?>
<formControlPr xmlns="http://schemas.microsoft.com/office/spreadsheetml/2009/9/main" objectType="CheckBox" checked="Checked" fmlaLink="F88" lockText="1" noThreeD="1"/>
</file>

<file path=xl/ctrlProps/ctrlProp282.xml><?xml version="1.0" encoding="utf-8"?>
<formControlPr xmlns="http://schemas.microsoft.com/office/spreadsheetml/2009/9/main" objectType="CheckBox" checked="Checked" fmlaLink="F95" lockText="1" noThreeD="1"/>
</file>

<file path=xl/ctrlProps/ctrlProp283.xml><?xml version="1.0" encoding="utf-8"?>
<formControlPr xmlns="http://schemas.microsoft.com/office/spreadsheetml/2009/9/main" objectType="CheckBox" checked="Checked" fmlaLink="F96" lockText="1" noThreeD="1"/>
</file>

<file path=xl/ctrlProps/ctrlProp284.xml><?xml version="1.0" encoding="utf-8"?>
<formControlPr xmlns="http://schemas.microsoft.com/office/spreadsheetml/2009/9/main" objectType="GBox" noThreeD="1"/>
</file>

<file path=xl/ctrlProps/ctrlProp285.xml><?xml version="1.0" encoding="utf-8"?>
<formControlPr xmlns="http://schemas.microsoft.com/office/spreadsheetml/2009/9/main" objectType="Radio" firstButton="1" fmlaLink="G99" lockText="1" noThreeD="1"/>
</file>

<file path=xl/ctrlProps/ctrlProp286.xml><?xml version="1.0" encoding="utf-8"?>
<formControlPr xmlns="http://schemas.microsoft.com/office/spreadsheetml/2009/9/main" objectType="Radio" lockText="1" noThreeD="1"/>
</file>

<file path=xl/ctrlProps/ctrlProp287.xml><?xml version="1.0" encoding="utf-8"?>
<formControlPr xmlns="http://schemas.microsoft.com/office/spreadsheetml/2009/9/main" objectType="Radio" checked="Checked" lockText="1" noThreeD="1"/>
</file>

<file path=xl/ctrlProps/ctrlProp288.xml><?xml version="1.0" encoding="utf-8"?>
<formControlPr xmlns="http://schemas.microsoft.com/office/spreadsheetml/2009/9/main" objectType="GBox" noThreeD="1"/>
</file>

<file path=xl/ctrlProps/ctrlProp289.xml><?xml version="1.0" encoding="utf-8"?>
<formControlPr xmlns="http://schemas.microsoft.com/office/spreadsheetml/2009/9/main" objectType="Radio" firstButton="1" fmlaLink="G102" lockText="1" noThreeD="1"/>
</file>

<file path=xl/ctrlProps/ctrlProp290.xml><?xml version="1.0" encoding="utf-8"?>
<formControlPr xmlns="http://schemas.microsoft.com/office/spreadsheetml/2009/9/main" objectType="Radio" checked="Checked" lockText="1" noThreeD="1"/>
</file>

<file path=xl/ctrlProps/ctrlProp291.xml><?xml version="1.0" encoding="utf-8"?>
<formControlPr xmlns="http://schemas.microsoft.com/office/spreadsheetml/2009/9/main" objectType="CheckBox" checked="Checked" fmlaLink="F4" lockText="1" noThreeD="1"/>
</file>

<file path=xl/ctrlProps/ctrlProp292.xml><?xml version="1.0" encoding="utf-8"?>
<formControlPr xmlns="http://schemas.microsoft.com/office/spreadsheetml/2009/9/main" objectType="CheckBox" checked="Checked" fmlaLink="F39" lockText="1" noThreeD="1"/>
</file>

<file path=xl/ctrlProps/ctrlProp293.xml><?xml version="1.0" encoding="utf-8"?>
<formControlPr xmlns="http://schemas.microsoft.com/office/spreadsheetml/2009/9/main" objectType="CheckBox" checked="Checked" fmlaLink="F47" lockText="1" noThreeD="1"/>
</file>

<file path=xl/ctrlProps/ctrlProp294.xml><?xml version="1.0" encoding="utf-8"?>
<formControlPr xmlns="http://schemas.microsoft.com/office/spreadsheetml/2009/9/main" objectType="CheckBox" checked="Checked" fmlaLink="F71" lockText="1" noThreeD="1"/>
</file>

<file path=xl/ctrlProps/ctrlProp295.xml><?xml version="1.0" encoding="utf-8"?>
<formControlPr xmlns="http://schemas.microsoft.com/office/spreadsheetml/2009/9/main" objectType="GBox" noThreeD="1"/>
</file>

<file path=xl/ctrlProps/ctrlProp296.xml><?xml version="1.0" encoding="utf-8"?>
<formControlPr xmlns="http://schemas.microsoft.com/office/spreadsheetml/2009/9/main" objectType="Radio" firstButton="1" fmlaLink="G36" lockText="1" noThreeD="1"/>
</file>

<file path=xl/ctrlProps/ctrlProp297.xml><?xml version="1.0" encoding="utf-8"?>
<formControlPr xmlns="http://schemas.microsoft.com/office/spreadsheetml/2009/9/main" objectType="Radio" checked="Checked" lockText="1" noThreeD="1"/>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220980</xdr:colOff>
          <xdr:row>15</xdr:row>
          <xdr:rowOff>182880</xdr:rowOff>
        </xdr:from>
        <xdr:to>
          <xdr:col>2</xdr:col>
          <xdr:colOff>259080</xdr:colOff>
          <xdr:row>17</xdr:row>
          <xdr:rowOff>30480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17</xdr:row>
          <xdr:rowOff>182880</xdr:rowOff>
        </xdr:from>
        <xdr:to>
          <xdr:col>2</xdr:col>
          <xdr:colOff>259080</xdr:colOff>
          <xdr:row>19</xdr:row>
          <xdr:rowOff>30480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19</xdr:row>
          <xdr:rowOff>0</xdr:rowOff>
        </xdr:from>
        <xdr:to>
          <xdr:col>2</xdr:col>
          <xdr:colOff>259080</xdr:colOff>
          <xdr:row>20</xdr:row>
          <xdr:rowOff>30480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19</xdr:row>
          <xdr:rowOff>182880</xdr:rowOff>
        </xdr:from>
        <xdr:to>
          <xdr:col>2</xdr:col>
          <xdr:colOff>259080</xdr:colOff>
          <xdr:row>21</xdr:row>
          <xdr:rowOff>30480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0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20</xdr:row>
          <xdr:rowOff>182880</xdr:rowOff>
        </xdr:from>
        <xdr:to>
          <xdr:col>2</xdr:col>
          <xdr:colOff>259080</xdr:colOff>
          <xdr:row>22</xdr:row>
          <xdr:rowOff>30480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21</xdr:row>
          <xdr:rowOff>182880</xdr:rowOff>
        </xdr:from>
        <xdr:to>
          <xdr:col>2</xdr:col>
          <xdr:colOff>259080</xdr:colOff>
          <xdr:row>23</xdr:row>
          <xdr:rowOff>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22</xdr:row>
          <xdr:rowOff>144780</xdr:rowOff>
        </xdr:from>
        <xdr:to>
          <xdr:col>2</xdr:col>
          <xdr:colOff>259080</xdr:colOff>
          <xdr:row>23</xdr:row>
          <xdr:rowOff>182880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0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23</xdr:row>
          <xdr:rowOff>144780</xdr:rowOff>
        </xdr:from>
        <xdr:to>
          <xdr:col>2</xdr:col>
          <xdr:colOff>259080</xdr:colOff>
          <xdr:row>24</xdr:row>
          <xdr:rowOff>182880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0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24</xdr:row>
          <xdr:rowOff>144780</xdr:rowOff>
        </xdr:from>
        <xdr:to>
          <xdr:col>2</xdr:col>
          <xdr:colOff>259080</xdr:colOff>
          <xdr:row>25</xdr:row>
          <xdr:rowOff>182880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0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25</xdr:row>
          <xdr:rowOff>144780</xdr:rowOff>
        </xdr:from>
        <xdr:to>
          <xdr:col>2</xdr:col>
          <xdr:colOff>259080</xdr:colOff>
          <xdr:row>26</xdr:row>
          <xdr:rowOff>182880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0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Otra (indicar):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16</xdr:row>
          <xdr:rowOff>182880</xdr:rowOff>
        </xdr:from>
        <xdr:to>
          <xdr:col>2</xdr:col>
          <xdr:colOff>259080</xdr:colOff>
          <xdr:row>18</xdr:row>
          <xdr:rowOff>30480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0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xdr:colOff>
          <xdr:row>21</xdr:row>
          <xdr:rowOff>182880</xdr:rowOff>
        </xdr:from>
        <xdr:to>
          <xdr:col>5</xdr:col>
          <xdr:colOff>373380</xdr:colOff>
          <xdr:row>23</xdr:row>
          <xdr:rowOff>30480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0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IK (62262 + IEC TR 62696:2011)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15</xdr:row>
          <xdr:rowOff>152400</xdr:rowOff>
        </xdr:from>
        <xdr:to>
          <xdr:col>8</xdr:col>
          <xdr:colOff>495300</xdr:colOff>
          <xdr:row>17</xdr:row>
          <xdr:rowOff>30480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0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IP2X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16</xdr:row>
          <xdr:rowOff>182880</xdr:rowOff>
        </xdr:from>
        <xdr:to>
          <xdr:col>8</xdr:col>
          <xdr:colOff>525780</xdr:colOff>
          <xdr:row>18</xdr:row>
          <xdr:rowOff>30480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000-00001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IP3X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17</xdr:row>
          <xdr:rowOff>182880</xdr:rowOff>
        </xdr:from>
        <xdr:to>
          <xdr:col>8</xdr:col>
          <xdr:colOff>533400</xdr:colOff>
          <xdr:row>19</xdr:row>
          <xdr:rowOff>30480</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000-00001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IP4X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18</xdr:row>
          <xdr:rowOff>182880</xdr:rowOff>
        </xdr:from>
        <xdr:to>
          <xdr:col>8</xdr:col>
          <xdr:colOff>533400</xdr:colOff>
          <xdr:row>20</xdr:row>
          <xdr:rowOff>30480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000-00001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IP5X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19</xdr:row>
          <xdr:rowOff>152400</xdr:rowOff>
        </xdr:from>
        <xdr:to>
          <xdr:col>8</xdr:col>
          <xdr:colOff>533400</xdr:colOff>
          <xdr:row>21</xdr:row>
          <xdr:rowOff>30480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0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IP6X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15</xdr:row>
          <xdr:rowOff>182880</xdr:rowOff>
        </xdr:from>
        <xdr:to>
          <xdr:col>9</xdr:col>
          <xdr:colOff>563880</xdr:colOff>
          <xdr:row>17</xdr:row>
          <xdr:rowOff>30480</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0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16</xdr:row>
          <xdr:rowOff>182880</xdr:rowOff>
        </xdr:from>
        <xdr:to>
          <xdr:col>9</xdr:col>
          <xdr:colOff>533400</xdr:colOff>
          <xdr:row>18</xdr:row>
          <xdr:rowOff>30480</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0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17</xdr:row>
          <xdr:rowOff>182880</xdr:rowOff>
        </xdr:from>
        <xdr:to>
          <xdr:col>9</xdr:col>
          <xdr:colOff>487680</xdr:colOff>
          <xdr:row>19</xdr:row>
          <xdr:rowOff>30480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0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18</xdr:row>
          <xdr:rowOff>182880</xdr:rowOff>
        </xdr:from>
        <xdr:to>
          <xdr:col>9</xdr:col>
          <xdr:colOff>525780</xdr:colOff>
          <xdr:row>20</xdr:row>
          <xdr:rowOff>30480</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000-00001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19</xdr:row>
          <xdr:rowOff>152400</xdr:rowOff>
        </xdr:from>
        <xdr:to>
          <xdr:col>9</xdr:col>
          <xdr:colOff>533400</xdr:colOff>
          <xdr:row>21</xdr:row>
          <xdr:rowOff>30480</xdr:rowOff>
        </xdr:to>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000-00001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20</xdr:row>
          <xdr:rowOff>182880</xdr:rowOff>
        </xdr:from>
        <xdr:to>
          <xdr:col>9</xdr:col>
          <xdr:colOff>533400</xdr:colOff>
          <xdr:row>21</xdr:row>
          <xdr:rowOff>182880</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000-00001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21</xdr:row>
          <xdr:rowOff>182880</xdr:rowOff>
        </xdr:from>
        <xdr:to>
          <xdr:col>9</xdr:col>
          <xdr:colOff>563880</xdr:colOff>
          <xdr:row>22</xdr:row>
          <xdr:rowOff>182880</xdr:rowOff>
        </xdr:to>
        <xdr:sp macro="" textlink="">
          <xdr:nvSpPr>
            <xdr:cNvPr id="6171" name="Check Box 27" hidden="1">
              <a:extLst>
                <a:ext uri="{63B3BB69-23CF-44E3-9099-C40C66FF867C}">
                  <a14:compatExt spid="_x0000_s6171"/>
                </a:ext>
                <a:ext uri="{FF2B5EF4-FFF2-40B4-BE49-F238E27FC236}">
                  <a16:creationId xmlns:a16="http://schemas.microsoft.com/office/drawing/2014/main" id="{00000000-0008-0000-0000-00001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22</xdr:row>
          <xdr:rowOff>182880</xdr:rowOff>
        </xdr:from>
        <xdr:to>
          <xdr:col>10</xdr:col>
          <xdr:colOff>76200</xdr:colOff>
          <xdr:row>24</xdr:row>
          <xdr:rowOff>30480</xdr:rowOff>
        </xdr:to>
        <xdr:sp macro="" textlink="">
          <xdr:nvSpPr>
            <xdr:cNvPr id="6172" name="Check Box 28" hidden="1">
              <a:extLst>
                <a:ext uri="{63B3BB69-23CF-44E3-9099-C40C66FF867C}">
                  <a14:compatExt spid="_x0000_s6172"/>
                </a:ext>
                <a:ext uri="{FF2B5EF4-FFF2-40B4-BE49-F238E27FC236}">
                  <a16:creationId xmlns:a16="http://schemas.microsoft.com/office/drawing/2014/main" id="{00000000-0008-0000-0000-00001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23</xdr:row>
          <xdr:rowOff>182880</xdr:rowOff>
        </xdr:from>
        <xdr:to>
          <xdr:col>9</xdr:col>
          <xdr:colOff>525780</xdr:colOff>
          <xdr:row>24</xdr:row>
          <xdr:rowOff>182880</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000-00001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24</xdr:row>
          <xdr:rowOff>182880</xdr:rowOff>
        </xdr:from>
        <xdr:to>
          <xdr:col>9</xdr:col>
          <xdr:colOff>563880</xdr:colOff>
          <xdr:row>26</xdr:row>
          <xdr:rowOff>0</xdr:rowOff>
        </xdr:to>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000-00001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411480</xdr:colOff>
          <xdr:row>14</xdr:row>
          <xdr:rowOff>30480</xdr:rowOff>
        </xdr:from>
        <xdr:to>
          <xdr:col>17</xdr:col>
          <xdr:colOff>457200</xdr:colOff>
          <xdr:row>15</xdr:row>
          <xdr:rowOff>68580</xdr:rowOff>
        </xdr:to>
        <xdr:sp macro="" textlink="">
          <xdr:nvSpPr>
            <xdr:cNvPr id="6180" name="Check Box 36" hidden="1">
              <a:extLst>
                <a:ext uri="{63B3BB69-23CF-44E3-9099-C40C66FF867C}">
                  <a14:compatExt spid="_x0000_s6180"/>
                </a:ext>
                <a:ext uri="{FF2B5EF4-FFF2-40B4-BE49-F238E27FC236}">
                  <a16:creationId xmlns:a16="http://schemas.microsoft.com/office/drawing/2014/main" id="{00000000-0008-0000-0000-00002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Este proyecto no lleva ensayos IK (N/A)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15</xdr:row>
          <xdr:rowOff>182880</xdr:rowOff>
        </xdr:from>
        <xdr:to>
          <xdr:col>14</xdr:col>
          <xdr:colOff>640080</xdr:colOff>
          <xdr:row>17</xdr:row>
          <xdr:rowOff>30480</xdr:rowOff>
        </xdr:to>
        <xdr:sp macro="" textlink="">
          <xdr:nvSpPr>
            <xdr:cNvPr id="6181" name="Check Box 37" hidden="1">
              <a:extLst>
                <a:ext uri="{63B3BB69-23CF-44E3-9099-C40C66FF867C}">
                  <a14:compatExt spid="_x0000_s6181"/>
                </a:ext>
                <a:ext uri="{FF2B5EF4-FFF2-40B4-BE49-F238E27FC236}">
                  <a16:creationId xmlns:a16="http://schemas.microsoft.com/office/drawing/2014/main" id="{00000000-0008-0000-0000-00002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16</xdr:row>
          <xdr:rowOff>182880</xdr:rowOff>
        </xdr:from>
        <xdr:to>
          <xdr:col>14</xdr:col>
          <xdr:colOff>640080</xdr:colOff>
          <xdr:row>18</xdr:row>
          <xdr:rowOff>38100</xdr:rowOff>
        </xdr:to>
        <xdr:sp macro="" textlink="">
          <xdr:nvSpPr>
            <xdr:cNvPr id="6182" name="Check Box 38" hidden="1">
              <a:extLst>
                <a:ext uri="{63B3BB69-23CF-44E3-9099-C40C66FF867C}">
                  <a14:compatExt spid="_x0000_s6182"/>
                </a:ext>
                <a:ext uri="{FF2B5EF4-FFF2-40B4-BE49-F238E27FC236}">
                  <a16:creationId xmlns:a16="http://schemas.microsoft.com/office/drawing/2014/main" id="{00000000-0008-0000-0000-00002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17</xdr:row>
          <xdr:rowOff>182880</xdr:rowOff>
        </xdr:from>
        <xdr:to>
          <xdr:col>14</xdr:col>
          <xdr:colOff>640080</xdr:colOff>
          <xdr:row>19</xdr:row>
          <xdr:rowOff>30480</xdr:rowOff>
        </xdr:to>
        <xdr:sp macro="" textlink="">
          <xdr:nvSpPr>
            <xdr:cNvPr id="6183" name="Check Box 39" hidden="1">
              <a:extLst>
                <a:ext uri="{63B3BB69-23CF-44E3-9099-C40C66FF867C}">
                  <a14:compatExt spid="_x0000_s6183"/>
                </a:ext>
                <a:ext uri="{FF2B5EF4-FFF2-40B4-BE49-F238E27FC236}">
                  <a16:creationId xmlns:a16="http://schemas.microsoft.com/office/drawing/2014/main" id="{00000000-0008-0000-0000-00002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144780</xdr:colOff>
          <xdr:row>18</xdr:row>
          <xdr:rowOff>182880</xdr:rowOff>
        </xdr:from>
        <xdr:to>
          <xdr:col>14</xdr:col>
          <xdr:colOff>609600</xdr:colOff>
          <xdr:row>20</xdr:row>
          <xdr:rowOff>30480</xdr:rowOff>
        </xdr:to>
        <xdr:sp macro="" textlink="">
          <xdr:nvSpPr>
            <xdr:cNvPr id="6184" name="Check Box 40" hidden="1">
              <a:extLst>
                <a:ext uri="{63B3BB69-23CF-44E3-9099-C40C66FF867C}">
                  <a14:compatExt spid="_x0000_s6184"/>
                </a:ext>
                <a:ext uri="{FF2B5EF4-FFF2-40B4-BE49-F238E27FC236}">
                  <a16:creationId xmlns:a16="http://schemas.microsoft.com/office/drawing/2014/main" id="{00000000-0008-0000-0000-00002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144780</xdr:colOff>
          <xdr:row>19</xdr:row>
          <xdr:rowOff>182880</xdr:rowOff>
        </xdr:from>
        <xdr:to>
          <xdr:col>14</xdr:col>
          <xdr:colOff>609600</xdr:colOff>
          <xdr:row>21</xdr:row>
          <xdr:rowOff>30480</xdr:rowOff>
        </xdr:to>
        <xdr:sp macro="" textlink="">
          <xdr:nvSpPr>
            <xdr:cNvPr id="6185" name="Check Box 41" hidden="1">
              <a:extLst>
                <a:ext uri="{63B3BB69-23CF-44E3-9099-C40C66FF867C}">
                  <a14:compatExt spid="_x0000_s6185"/>
                </a:ext>
                <a:ext uri="{FF2B5EF4-FFF2-40B4-BE49-F238E27FC236}">
                  <a16:creationId xmlns:a16="http://schemas.microsoft.com/office/drawing/2014/main" id="{00000000-0008-0000-0000-00002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144780</xdr:colOff>
          <xdr:row>20</xdr:row>
          <xdr:rowOff>182880</xdr:rowOff>
        </xdr:from>
        <xdr:to>
          <xdr:col>14</xdr:col>
          <xdr:colOff>609600</xdr:colOff>
          <xdr:row>22</xdr:row>
          <xdr:rowOff>30480</xdr:rowOff>
        </xdr:to>
        <xdr:sp macro="" textlink="">
          <xdr:nvSpPr>
            <xdr:cNvPr id="6186" name="Check Box 42" hidden="1">
              <a:extLst>
                <a:ext uri="{63B3BB69-23CF-44E3-9099-C40C66FF867C}">
                  <a14:compatExt spid="_x0000_s6186"/>
                </a:ext>
                <a:ext uri="{FF2B5EF4-FFF2-40B4-BE49-F238E27FC236}">
                  <a16:creationId xmlns:a16="http://schemas.microsoft.com/office/drawing/2014/main" id="{00000000-0008-0000-0000-00002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IK11</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695325</xdr:colOff>
          <xdr:row>15</xdr:row>
          <xdr:rowOff>180975</xdr:rowOff>
        </xdr:from>
        <xdr:to>
          <xdr:col>12</xdr:col>
          <xdr:colOff>628650</xdr:colOff>
          <xdr:row>19</xdr:row>
          <xdr:rowOff>28575</xdr:rowOff>
        </xdr:to>
        <xdr:grpSp>
          <xdr:nvGrpSpPr>
            <xdr:cNvPr id="2" name="Grupo 1">
              <a:extLst>
                <a:ext uri="{FF2B5EF4-FFF2-40B4-BE49-F238E27FC236}">
                  <a16:creationId xmlns:a16="http://schemas.microsoft.com/office/drawing/2014/main" id="{00000000-0008-0000-0000-000002000000}"/>
                </a:ext>
              </a:extLst>
            </xdr:cNvPr>
            <xdr:cNvGrpSpPr/>
          </xdr:nvGrpSpPr>
          <xdr:grpSpPr>
            <a:xfrm>
              <a:off x="6463665" y="3099435"/>
              <a:ext cx="2287905" cy="579120"/>
              <a:chOff x="409575" y="4095708"/>
              <a:chExt cx="2428875" cy="609600"/>
            </a:xfrm>
          </xdr:grpSpPr>
          <xdr:sp macro="" textlink="">
            <xdr:nvSpPr>
              <xdr:cNvPr id="6190" name="Option Button 46" hidden="1">
                <a:extLst>
                  <a:ext uri="{63B3BB69-23CF-44E3-9099-C40C66FF867C}">
                    <a14:compatExt spid="_x0000_s6190"/>
                  </a:ext>
                  <a:ext uri="{FF2B5EF4-FFF2-40B4-BE49-F238E27FC236}">
                    <a16:creationId xmlns:a16="http://schemas.microsoft.com/office/drawing/2014/main" id="{00000000-0008-0000-0000-00002E180000}"/>
                  </a:ext>
                </a:extLst>
              </xdr:cNvPr>
              <xdr:cNvSpPr/>
            </xdr:nvSpPr>
            <xdr:spPr bwMode="auto">
              <a:xfrm>
                <a:off x="495300" y="4200525"/>
                <a:ext cx="2209800" cy="24160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Toda la luminaria tiene el mismo IP</a:t>
                </a:r>
              </a:p>
            </xdr:txBody>
          </xdr:sp>
          <xdr:sp macro="" textlink="">
            <xdr:nvSpPr>
              <xdr:cNvPr id="6191" name="Option Button 47" hidden="1">
                <a:extLst>
                  <a:ext uri="{63B3BB69-23CF-44E3-9099-C40C66FF867C}">
                    <a14:compatExt spid="_x0000_s6191"/>
                  </a:ext>
                  <a:ext uri="{FF2B5EF4-FFF2-40B4-BE49-F238E27FC236}">
                    <a16:creationId xmlns:a16="http://schemas.microsoft.com/office/drawing/2014/main" id="{00000000-0008-0000-0000-00002F180000}"/>
                  </a:ext>
                </a:extLst>
              </xdr:cNvPr>
              <xdr:cNvSpPr/>
            </xdr:nvSpPr>
            <xdr:spPr bwMode="auto">
              <a:xfrm>
                <a:off x="495300" y="4391026"/>
                <a:ext cx="2266950"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IP según parte de la luminaria</a:t>
                </a:r>
              </a:p>
            </xdr:txBody>
          </xdr:sp>
          <xdr:sp macro="" textlink="">
            <xdr:nvSpPr>
              <xdr:cNvPr id="6192" name="Group Box 48" descr=" " hidden="1">
                <a:extLst>
                  <a:ext uri="{63B3BB69-23CF-44E3-9099-C40C66FF867C}">
                    <a14:compatExt spid="_x0000_s6192"/>
                  </a:ext>
                  <a:ext uri="{FF2B5EF4-FFF2-40B4-BE49-F238E27FC236}">
                    <a16:creationId xmlns:a16="http://schemas.microsoft.com/office/drawing/2014/main" id="{00000000-0008-0000-0000-000030180000}"/>
                  </a:ext>
                </a:extLst>
              </xdr:cNvPr>
              <xdr:cNvSpPr/>
            </xdr:nvSpPr>
            <xdr:spPr bwMode="auto">
              <a:xfrm>
                <a:off x="409575" y="4095708"/>
                <a:ext cx="2428875" cy="609600"/>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14</xdr:col>
          <xdr:colOff>542926</xdr:colOff>
          <xdr:row>23</xdr:row>
          <xdr:rowOff>38100</xdr:rowOff>
        </xdr:from>
        <xdr:to>
          <xdr:col>17</xdr:col>
          <xdr:colOff>590551</xdr:colOff>
          <xdr:row>26</xdr:row>
          <xdr:rowOff>76200</xdr:rowOff>
        </xdr:to>
        <xdr:grpSp>
          <xdr:nvGrpSpPr>
            <xdr:cNvPr id="3" name="Grupo 2">
              <a:extLst>
                <a:ext uri="{FF2B5EF4-FFF2-40B4-BE49-F238E27FC236}">
                  <a16:creationId xmlns:a16="http://schemas.microsoft.com/office/drawing/2014/main" id="{00000000-0008-0000-0000-000003000000}"/>
                </a:ext>
              </a:extLst>
            </xdr:cNvPr>
            <xdr:cNvGrpSpPr/>
          </xdr:nvGrpSpPr>
          <xdr:grpSpPr>
            <a:xfrm>
              <a:off x="9694546" y="4434840"/>
              <a:ext cx="2272665" cy="594360"/>
              <a:chOff x="904876" y="4867223"/>
              <a:chExt cx="2209800" cy="609598"/>
            </a:xfrm>
          </xdr:grpSpPr>
          <xdr:sp macro="" textlink="">
            <xdr:nvSpPr>
              <xdr:cNvPr id="6193" name="Option Button 49" hidden="1">
                <a:extLst>
                  <a:ext uri="{63B3BB69-23CF-44E3-9099-C40C66FF867C}">
                    <a14:compatExt spid="_x0000_s6193"/>
                  </a:ext>
                  <a:ext uri="{FF2B5EF4-FFF2-40B4-BE49-F238E27FC236}">
                    <a16:creationId xmlns:a16="http://schemas.microsoft.com/office/drawing/2014/main" id="{00000000-0008-0000-0000-000031180000}"/>
                  </a:ext>
                </a:extLst>
              </xdr:cNvPr>
              <xdr:cNvSpPr/>
            </xdr:nvSpPr>
            <xdr:spPr bwMode="auto">
              <a:xfrm>
                <a:off x="990601" y="4991101"/>
                <a:ext cx="1866900" cy="19050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Toda la luminaria tiene el mismo IK</a:t>
                </a:r>
              </a:p>
            </xdr:txBody>
          </xdr:sp>
          <xdr:sp macro="" textlink="">
            <xdr:nvSpPr>
              <xdr:cNvPr id="6194" name="Option Button 50" hidden="1">
                <a:extLst>
                  <a:ext uri="{63B3BB69-23CF-44E3-9099-C40C66FF867C}">
                    <a14:compatExt spid="_x0000_s6194"/>
                  </a:ext>
                  <a:ext uri="{FF2B5EF4-FFF2-40B4-BE49-F238E27FC236}">
                    <a16:creationId xmlns:a16="http://schemas.microsoft.com/office/drawing/2014/main" id="{00000000-0008-0000-0000-000032180000}"/>
                  </a:ext>
                </a:extLst>
              </xdr:cNvPr>
              <xdr:cNvSpPr/>
            </xdr:nvSpPr>
            <xdr:spPr bwMode="auto">
              <a:xfrm>
                <a:off x="990600" y="5162550"/>
                <a:ext cx="2105025" cy="22860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IK según parte de la luminaria</a:t>
                </a:r>
              </a:p>
            </xdr:txBody>
          </xdr:sp>
          <xdr:sp macro="" textlink="">
            <xdr:nvSpPr>
              <xdr:cNvPr id="6195" name="Group Box 51" hidden="1">
                <a:extLst>
                  <a:ext uri="{63B3BB69-23CF-44E3-9099-C40C66FF867C}">
                    <a14:compatExt spid="_x0000_s6195"/>
                  </a:ext>
                  <a:ext uri="{FF2B5EF4-FFF2-40B4-BE49-F238E27FC236}">
                    <a16:creationId xmlns:a16="http://schemas.microsoft.com/office/drawing/2014/main" id="{00000000-0008-0000-0000-000033180000}"/>
                  </a:ext>
                </a:extLst>
              </xdr:cNvPr>
              <xdr:cNvSpPr/>
            </xdr:nvSpPr>
            <xdr:spPr bwMode="auto">
              <a:xfrm>
                <a:off x="904876" y="4867223"/>
                <a:ext cx="2209800" cy="609598"/>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9</xdr:row>
          <xdr:rowOff>0</xdr:rowOff>
        </xdr:from>
        <xdr:to>
          <xdr:col>5</xdr:col>
          <xdr:colOff>0</xdr:colOff>
          <xdr:row>10</xdr:row>
          <xdr:rowOff>9525</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1882140" y="1775460"/>
              <a:ext cx="1569720" cy="192405"/>
              <a:chOff x="1247776" y="923919"/>
              <a:chExt cx="1085850" cy="257178"/>
            </a:xfrm>
          </xdr:grpSpPr>
          <xdr:sp macro="" textlink="">
            <xdr:nvSpPr>
              <xdr:cNvPr id="6196" name="Option Button 52" hidden="1">
                <a:extLst>
                  <a:ext uri="{63B3BB69-23CF-44E3-9099-C40C66FF867C}">
                    <a14:compatExt spid="_x0000_s6196"/>
                  </a:ext>
                  <a:ext uri="{FF2B5EF4-FFF2-40B4-BE49-F238E27FC236}">
                    <a16:creationId xmlns:a16="http://schemas.microsoft.com/office/drawing/2014/main" id="{00000000-0008-0000-0000-000034180000}"/>
                  </a:ext>
                </a:extLst>
              </xdr:cNvPr>
              <xdr:cNvSpPr/>
            </xdr:nvSpPr>
            <xdr:spPr bwMode="auto">
              <a:xfrm>
                <a:off x="1285875" y="942974"/>
                <a:ext cx="304800" cy="2190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a:t>
                </a:r>
              </a:p>
            </xdr:txBody>
          </xdr:sp>
          <xdr:sp macro="" textlink="">
            <xdr:nvSpPr>
              <xdr:cNvPr id="6197" name="Option Button 53" hidden="1">
                <a:extLst>
                  <a:ext uri="{63B3BB69-23CF-44E3-9099-C40C66FF867C}">
                    <a14:compatExt spid="_x0000_s6197"/>
                  </a:ext>
                  <a:ext uri="{FF2B5EF4-FFF2-40B4-BE49-F238E27FC236}">
                    <a16:creationId xmlns:a16="http://schemas.microsoft.com/office/drawing/2014/main" id="{00000000-0008-0000-0000-000035180000}"/>
                  </a:ext>
                </a:extLst>
              </xdr:cNvPr>
              <xdr:cNvSpPr/>
            </xdr:nvSpPr>
            <xdr:spPr bwMode="auto">
              <a:xfrm>
                <a:off x="1600200" y="952501"/>
                <a:ext cx="304800" cy="2190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II</a:t>
                </a:r>
              </a:p>
            </xdr:txBody>
          </xdr:sp>
          <xdr:sp macro="" textlink="">
            <xdr:nvSpPr>
              <xdr:cNvPr id="6198" name="Option Button 54" hidden="1">
                <a:extLst>
                  <a:ext uri="{63B3BB69-23CF-44E3-9099-C40C66FF867C}">
                    <a14:compatExt spid="_x0000_s6198"/>
                  </a:ext>
                  <a:ext uri="{FF2B5EF4-FFF2-40B4-BE49-F238E27FC236}">
                    <a16:creationId xmlns:a16="http://schemas.microsoft.com/office/drawing/2014/main" id="{00000000-0008-0000-0000-000036180000}"/>
                  </a:ext>
                </a:extLst>
              </xdr:cNvPr>
              <xdr:cNvSpPr/>
            </xdr:nvSpPr>
            <xdr:spPr bwMode="auto">
              <a:xfrm>
                <a:off x="1933575" y="952501"/>
                <a:ext cx="304800" cy="2190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III</a:t>
                </a:r>
              </a:p>
            </xdr:txBody>
          </xdr:sp>
          <xdr:sp macro="" textlink="">
            <xdr:nvSpPr>
              <xdr:cNvPr id="6199" name="Group Box 55" hidden="1">
                <a:extLst>
                  <a:ext uri="{63B3BB69-23CF-44E3-9099-C40C66FF867C}">
                    <a14:compatExt spid="_x0000_s6199"/>
                  </a:ext>
                  <a:ext uri="{FF2B5EF4-FFF2-40B4-BE49-F238E27FC236}">
                    <a16:creationId xmlns:a16="http://schemas.microsoft.com/office/drawing/2014/main" id="{00000000-0008-0000-0000-000037180000}"/>
                  </a:ext>
                </a:extLst>
              </xdr:cNvPr>
              <xdr:cNvSpPr/>
            </xdr:nvSpPr>
            <xdr:spPr bwMode="auto">
              <a:xfrm>
                <a:off x="1247776" y="923919"/>
                <a:ext cx="1085850" cy="257178"/>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14</xdr:row>
          <xdr:rowOff>0</xdr:rowOff>
        </xdr:from>
        <xdr:to>
          <xdr:col>11</xdr:col>
          <xdr:colOff>678180</xdr:colOff>
          <xdr:row>15</xdr:row>
          <xdr:rowOff>68580</xdr:rowOff>
        </xdr:to>
        <xdr:sp macro="" textlink="">
          <xdr:nvSpPr>
            <xdr:cNvPr id="6200" name="Check Box 56" hidden="1">
              <a:extLst>
                <a:ext uri="{63B3BB69-23CF-44E3-9099-C40C66FF867C}">
                  <a14:compatExt spid="_x0000_s6200"/>
                </a:ext>
                <a:ext uri="{FF2B5EF4-FFF2-40B4-BE49-F238E27FC236}">
                  <a16:creationId xmlns:a16="http://schemas.microsoft.com/office/drawing/2014/main" id="{00000000-0008-0000-0000-00003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Proyecto de ensayos parciales que no lleva 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37</xdr:row>
          <xdr:rowOff>30480</xdr:rowOff>
        </xdr:from>
        <xdr:to>
          <xdr:col>2</xdr:col>
          <xdr:colOff>601980</xdr:colOff>
          <xdr:row>38</xdr:row>
          <xdr:rowOff>0</xdr:rowOff>
        </xdr:to>
        <xdr:sp macro="" textlink="">
          <xdr:nvSpPr>
            <xdr:cNvPr id="6201" name="Check Box 57" hidden="1">
              <a:extLst>
                <a:ext uri="{63B3BB69-23CF-44E3-9099-C40C66FF867C}">
                  <a14:compatExt spid="_x0000_s6201"/>
                </a:ext>
                <a:ext uri="{FF2B5EF4-FFF2-40B4-BE49-F238E27FC236}">
                  <a16:creationId xmlns:a16="http://schemas.microsoft.com/office/drawing/2014/main" id="{00000000-0008-0000-0000-00003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secuencial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38</xdr:row>
          <xdr:rowOff>0</xdr:rowOff>
        </xdr:from>
        <xdr:to>
          <xdr:col>2</xdr:col>
          <xdr:colOff>601980</xdr:colOff>
          <xdr:row>38</xdr:row>
          <xdr:rowOff>182880</xdr:rowOff>
        </xdr:to>
        <xdr:sp macro="" textlink="">
          <xdr:nvSpPr>
            <xdr:cNvPr id="6202" name="Check Box 58" hidden="1">
              <a:extLst>
                <a:ext uri="{63B3BB69-23CF-44E3-9099-C40C66FF867C}">
                  <a14:compatExt spid="_x0000_s6202"/>
                </a:ext>
                <a:ext uri="{FF2B5EF4-FFF2-40B4-BE49-F238E27FC236}">
                  <a16:creationId xmlns:a16="http://schemas.microsoft.com/office/drawing/2014/main" id="{00000000-0008-0000-0000-00003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personalizada</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16</xdr:row>
          <xdr:rowOff>0</xdr:rowOff>
        </xdr:from>
        <xdr:to>
          <xdr:col>5</xdr:col>
          <xdr:colOff>342900</xdr:colOff>
          <xdr:row>19</xdr:row>
          <xdr:rowOff>180975</xdr:rowOff>
        </xdr:to>
        <xdr:grpSp>
          <xdr:nvGrpSpPr>
            <xdr:cNvPr id="5" name="Grupo 4">
              <a:extLst>
                <a:ext uri="{FF2B5EF4-FFF2-40B4-BE49-F238E27FC236}">
                  <a16:creationId xmlns:a16="http://schemas.microsoft.com/office/drawing/2014/main" id="{00000000-0008-0000-0000-000005000000}"/>
                </a:ext>
              </a:extLst>
            </xdr:cNvPr>
            <xdr:cNvGrpSpPr/>
          </xdr:nvGrpSpPr>
          <xdr:grpSpPr>
            <a:xfrm>
              <a:off x="1929765" y="3101340"/>
              <a:ext cx="1864995" cy="729615"/>
              <a:chOff x="1885950" y="2990843"/>
              <a:chExt cx="1819275" cy="752456"/>
            </a:xfrm>
          </xdr:grpSpPr>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000-00000D180000}"/>
                  </a:ext>
                </a:extLst>
              </xdr:cNvPr>
              <xdr:cNvSpPr/>
            </xdr:nvSpPr>
            <xdr:spPr bwMode="auto">
              <a:xfrm>
                <a:off x="1885950" y="3162301"/>
                <a:ext cx="1819275" cy="23812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(Built-in SIN Cubierta)</a:t>
                </a:r>
              </a:p>
            </xdr:txBody>
          </xdr:sp>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000-00000E180000}"/>
                  </a:ext>
                </a:extLst>
              </xdr:cNvPr>
              <xdr:cNvSpPr/>
            </xdr:nvSpPr>
            <xdr:spPr bwMode="auto">
              <a:xfrm>
                <a:off x="1885950" y="3505174"/>
                <a:ext cx="1247775" cy="238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(Independiente)</a:t>
                </a:r>
              </a:p>
            </xdr:txBody>
          </xdr:sp>
          <xdr:sp macro="" textlink="">
            <xdr:nvSpPr>
              <xdr:cNvPr id="6203" name="Check Box 59" hidden="1">
                <a:extLst>
                  <a:ext uri="{63B3BB69-23CF-44E3-9099-C40C66FF867C}">
                    <a14:compatExt spid="_x0000_s6203"/>
                  </a:ext>
                  <a:ext uri="{FF2B5EF4-FFF2-40B4-BE49-F238E27FC236}">
                    <a16:creationId xmlns:a16="http://schemas.microsoft.com/office/drawing/2014/main" id="{00000000-0008-0000-0000-00003B180000}"/>
                  </a:ext>
                </a:extLst>
              </xdr:cNvPr>
              <xdr:cNvSpPr/>
            </xdr:nvSpPr>
            <xdr:spPr bwMode="auto">
              <a:xfrm>
                <a:off x="1885950" y="2990843"/>
                <a:ext cx="1247775" cy="23812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(A integrar [MI])</a:t>
                </a:r>
              </a:p>
            </xdr:txBody>
          </xdr:sp>
          <xdr:sp macro="" textlink="">
            <xdr:nvSpPr>
              <xdr:cNvPr id="6204" name="Check Box 60" hidden="1">
                <a:extLst>
                  <a:ext uri="{63B3BB69-23CF-44E3-9099-C40C66FF867C}">
                    <a14:compatExt spid="_x0000_s6204"/>
                  </a:ext>
                  <a:ext uri="{FF2B5EF4-FFF2-40B4-BE49-F238E27FC236}">
                    <a16:creationId xmlns:a16="http://schemas.microsoft.com/office/drawing/2014/main" id="{00000000-0008-0000-0000-00003C180000}"/>
                  </a:ext>
                </a:extLst>
              </xdr:cNvPr>
              <xdr:cNvSpPr/>
            </xdr:nvSpPr>
            <xdr:spPr bwMode="auto">
              <a:xfrm>
                <a:off x="1885950" y="3333750"/>
                <a:ext cx="1819275" cy="23812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(Built-in CON Cubierta)</a:t>
                </a:r>
              </a:p>
            </xdr:txBody>
          </xdr:sp>
        </xdr:grp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60</xdr:row>
          <xdr:rowOff>0</xdr:rowOff>
        </xdr:from>
        <xdr:to>
          <xdr:col>4</xdr:col>
          <xdr:colOff>106680</xdr:colOff>
          <xdr:row>60</xdr:row>
          <xdr:rowOff>182880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7006-47C (para portalámpras G5) (15N)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61</xdr:row>
          <xdr:rowOff>0</xdr:rowOff>
        </xdr:from>
        <xdr:to>
          <xdr:col>4</xdr:col>
          <xdr:colOff>190500</xdr:colOff>
          <xdr:row>62</xdr:row>
          <xdr:rowOff>22860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7006-60C (para portalámparas G13) (30N)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62</xdr:row>
          <xdr:rowOff>0</xdr:rowOff>
        </xdr:from>
        <xdr:to>
          <xdr:col>5</xdr:col>
          <xdr:colOff>220980</xdr:colOff>
          <xdr:row>62</xdr:row>
          <xdr:rowOff>182880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1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Otro: indicar en comentarios tipo y nivel de ensayo (N)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70</xdr:row>
          <xdr:rowOff>0</xdr:rowOff>
        </xdr:from>
        <xdr:to>
          <xdr:col>4</xdr:col>
          <xdr:colOff>106680</xdr:colOff>
          <xdr:row>70</xdr:row>
          <xdr:rowOff>182880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E14 ó B15 (1,2Nm)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71</xdr:row>
          <xdr:rowOff>0</xdr:rowOff>
        </xdr:from>
        <xdr:to>
          <xdr:col>4</xdr:col>
          <xdr:colOff>190500</xdr:colOff>
          <xdr:row>72</xdr:row>
          <xdr:rowOff>22860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1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E26, E27 ó B22 (2,0Nm)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72</xdr:row>
          <xdr:rowOff>182880</xdr:rowOff>
        </xdr:from>
        <xdr:to>
          <xdr:col>5</xdr:col>
          <xdr:colOff>220980</xdr:colOff>
          <xdr:row>73</xdr:row>
          <xdr:rowOff>175260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1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Otro: indicar en comentarios tipo y nivel de ensayo (N)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72</xdr:row>
          <xdr:rowOff>0</xdr:rowOff>
        </xdr:from>
        <xdr:to>
          <xdr:col>4</xdr:col>
          <xdr:colOff>190500</xdr:colOff>
          <xdr:row>73</xdr:row>
          <xdr:rowOff>22860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1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E30 ó E40 (4Nm)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93</xdr:row>
          <xdr:rowOff>190500</xdr:rowOff>
        </xdr:from>
        <xdr:to>
          <xdr:col>3</xdr:col>
          <xdr:colOff>487680</xdr:colOff>
          <xdr:row>95</xdr:row>
          <xdr:rowOff>22860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1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Por defecto: 10mm x 20mm x 25mm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95</xdr:row>
          <xdr:rowOff>0</xdr:rowOff>
        </xdr:from>
        <xdr:to>
          <xdr:col>3</xdr:col>
          <xdr:colOff>106680</xdr:colOff>
          <xdr:row>96</xdr:row>
          <xdr:rowOff>22860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1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Indicadas por el fabricante: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102</xdr:row>
          <xdr:rowOff>0</xdr:rowOff>
        </xdr:from>
        <xdr:to>
          <xdr:col>3</xdr:col>
          <xdr:colOff>487680</xdr:colOff>
          <xdr:row>103</xdr:row>
          <xdr:rowOff>22860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1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Sección mayor especificada en sec.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103</xdr:row>
          <xdr:rowOff>0</xdr:rowOff>
        </xdr:from>
        <xdr:to>
          <xdr:col>3</xdr:col>
          <xdr:colOff>106680</xdr:colOff>
          <xdr:row>104</xdr:row>
          <xdr:rowOff>22860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1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Otra: indicar en comentarios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85</xdr:row>
          <xdr:rowOff>0</xdr:rowOff>
        </xdr:from>
        <xdr:to>
          <xdr:col>2</xdr:col>
          <xdr:colOff>487680</xdr:colOff>
          <xdr:row>86</xdr:row>
          <xdr:rowOff>22860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1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86</xdr:row>
          <xdr:rowOff>0</xdr:rowOff>
        </xdr:from>
        <xdr:to>
          <xdr:col>2</xdr:col>
          <xdr:colOff>609600</xdr:colOff>
          <xdr:row>87</xdr:row>
          <xdr:rowOff>22860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1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OK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87</xdr:row>
          <xdr:rowOff>0</xdr:rowOff>
        </xdr:from>
        <xdr:to>
          <xdr:col>2</xdr:col>
          <xdr:colOff>495300</xdr:colOff>
          <xdr:row>88</xdr:row>
          <xdr:rowOff>22860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1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152</xdr:row>
          <xdr:rowOff>0</xdr:rowOff>
        </xdr:from>
        <xdr:to>
          <xdr:col>5</xdr:col>
          <xdr:colOff>601980</xdr:colOff>
          <xdr:row>153</xdr:row>
          <xdr:rowOff>30480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1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 envolvente de la luminaria. No se ha accedido a partes activas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152</xdr:row>
          <xdr:rowOff>190500</xdr:rowOff>
        </xdr:from>
        <xdr:to>
          <xdr:col>3</xdr:col>
          <xdr:colOff>106680</xdr:colOff>
          <xdr:row>154</xdr:row>
          <xdr:rowOff>22860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1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Otras: (indicar en comentarios)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168</xdr:row>
          <xdr:rowOff>30480</xdr:rowOff>
        </xdr:from>
        <xdr:to>
          <xdr:col>5</xdr:col>
          <xdr:colOff>0</xdr:colOff>
          <xdr:row>169</xdr:row>
          <xdr:rowOff>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1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168</xdr:row>
          <xdr:rowOff>182880</xdr:rowOff>
        </xdr:from>
        <xdr:to>
          <xdr:col>4</xdr:col>
          <xdr:colOff>601980</xdr:colOff>
          <xdr:row>169</xdr:row>
          <xdr:rowOff>182880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1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170</xdr:row>
          <xdr:rowOff>30480</xdr:rowOff>
        </xdr:from>
        <xdr:to>
          <xdr:col>4</xdr:col>
          <xdr:colOff>571500</xdr:colOff>
          <xdr:row>171</xdr:row>
          <xdr:rowOff>22860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1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171</xdr:row>
          <xdr:rowOff>0</xdr:rowOff>
        </xdr:from>
        <xdr:to>
          <xdr:col>4</xdr:col>
          <xdr:colOff>601980</xdr:colOff>
          <xdr:row>171</xdr:row>
          <xdr:rowOff>190500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1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172</xdr:row>
          <xdr:rowOff>30480</xdr:rowOff>
        </xdr:from>
        <xdr:to>
          <xdr:col>4</xdr:col>
          <xdr:colOff>601980</xdr:colOff>
          <xdr:row>173</xdr:row>
          <xdr:rowOff>22860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1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172</xdr:row>
          <xdr:rowOff>182880</xdr:rowOff>
        </xdr:from>
        <xdr:to>
          <xdr:col>4</xdr:col>
          <xdr:colOff>563880</xdr:colOff>
          <xdr:row>173</xdr:row>
          <xdr:rowOff>190500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1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174</xdr:row>
          <xdr:rowOff>30480</xdr:rowOff>
        </xdr:from>
        <xdr:to>
          <xdr:col>4</xdr:col>
          <xdr:colOff>571500</xdr:colOff>
          <xdr:row>175</xdr:row>
          <xdr:rowOff>22860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1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174</xdr:row>
          <xdr:rowOff>182880</xdr:rowOff>
        </xdr:from>
        <xdr:to>
          <xdr:col>4</xdr:col>
          <xdr:colOff>601980</xdr:colOff>
          <xdr:row>175</xdr:row>
          <xdr:rowOff>182880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1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176</xdr:row>
          <xdr:rowOff>30480</xdr:rowOff>
        </xdr:from>
        <xdr:to>
          <xdr:col>4</xdr:col>
          <xdr:colOff>601980</xdr:colOff>
          <xdr:row>177</xdr:row>
          <xdr:rowOff>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1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177</xdr:row>
          <xdr:rowOff>0</xdr:rowOff>
        </xdr:from>
        <xdr:to>
          <xdr:col>4</xdr:col>
          <xdr:colOff>601980</xdr:colOff>
          <xdr:row>177</xdr:row>
          <xdr:rowOff>190500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1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206</xdr:row>
          <xdr:rowOff>0</xdr:rowOff>
        </xdr:from>
        <xdr:to>
          <xdr:col>2</xdr:col>
          <xdr:colOff>1402080</xdr:colOff>
          <xdr:row>207</xdr:row>
          <xdr:rowOff>22860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1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207</xdr:row>
          <xdr:rowOff>0</xdr:rowOff>
        </xdr:from>
        <xdr:to>
          <xdr:col>4</xdr:col>
          <xdr:colOff>190500</xdr:colOff>
          <xdr:row>208</xdr:row>
          <xdr:rowOff>22860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1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E26, E27 y/o B22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208</xdr:row>
          <xdr:rowOff>182880</xdr:rowOff>
        </xdr:from>
        <xdr:to>
          <xdr:col>5</xdr:col>
          <xdr:colOff>220980</xdr:colOff>
          <xdr:row>209</xdr:row>
          <xdr:rowOff>175260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1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208</xdr:row>
          <xdr:rowOff>0</xdr:rowOff>
        </xdr:from>
        <xdr:to>
          <xdr:col>4</xdr:col>
          <xdr:colOff>190500</xdr:colOff>
          <xdr:row>209</xdr:row>
          <xdr:rowOff>22860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1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E14 y/o EB115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219</xdr:row>
          <xdr:rowOff>30480</xdr:rowOff>
        </xdr:from>
        <xdr:to>
          <xdr:col>3</xdr:col>
          <xdr:colOff>525780</xdr:colOff>
          <xdr:row>220</xdr:row>
          <xdr:rowOff>0</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100-00002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219</xdr:row>
          <xdr:rowOff>30480</xdr:rowOff>
        </xdr:from>
        <xdr:to>
          <xdr:col>5</xdr:col>
          <xdr:colOff>0</xdr:colOff>
          <xdr:row>220</xdr:row>
          <xdr:rowOff>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100-00002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220</xdr:row>
          <xdr:rowOff>30480</xdr:rowOff>
        </xdr:from>
        <xdr:to>
          <xdr:col>3</xdr:col>
          <xdr:colOff>525780</xdr:colOff>
          <xdr:row>221</xdr:row>
          <xdr:rowOff>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100-00002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220</xdr:row>
          <xdr:rowOff>30480</xdr:rowOff>
        </xdr:from>
        <xdr:to>
          <xdr:col>5</xdr:col>
          <xdr:colOff>0</xdr:colOff>
          <xdr:row>221</xdr:row>
          <xdr:rowOff>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100-00002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221</xdr:row>
          <xdr:rowOff>30480</xdr:rowOff>
        </xdr:from>
        <xdr:to>
          <xdr:col>3</xdr:col>
          <xdr:colOff>525780</xdr:colOff>
          <xdr:row>221</xdr:row>
          <xdr:rowOff>190500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1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221</xdr:row>
          <xdr:rowOff>30480</xdr:rowOff>
        </xdr:from>
        <xdr:to>
          <xdr:col>5</xdr:col>
          <xdr:colOff>0</xdr:colOff>
          <xdr:row>221</xdr:row>
          <xdr:rowOff>190500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1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274</xdr:row>
          <xdr:rowOff>182880</xdr:rowOff>
        </xdr:from>
        <xdr:to>
          <xdr:col>2</xdr:col>
          <xdr:colOff>1059180</xdr:colOff>
          <xdr:row>276</xdr:row>
          <xdr:rowOff>22860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1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Acuosa al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275</xdr:row>
          <xdr:rowOff>182880</xdr:rowOff>
        </xdr:from>
        <xdr:to>
          <xdr:col>3</xdr:col>
          <xdr:colOff>220980</xdr:colOff>
          <xdr:row>276</xdr:row>
          <xdr:rowOff>190500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1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Otra (indicar en comentarios)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330</xdr:row>
          <xdr:rowOff>190500</xdr:rowOff>
        </xdr:from>
        <xdr:to>
          <xdr:col>2</xdr:col>
          <xdr:colOff>487680</xdr:colOff>
          <xdr:row>332</xdr:row>
          <xdr:rowOff>22860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1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331</xdr:row>
          <xdr:rowOff>0</xdr:rowOff>
        </xdr:from>
        <xdr:to>
          <xdr:col>2</xdr:col>
          <xdr:colOff>906780</xdr:colOff>
          <xdr:row>332</xdr:row>
          <xdr:rowOff>22860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1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45</xdr:row>
          <xdr:rowOff>0</xdr:rowOff>
        </xdr:from>
        <xdr:to>
          <xdr:col>2</xdr:col>
          <xdr:colOff>906780</xdr:colOff>
          <xdr:row>46</xdr:row>
          <xdr:rowOff>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1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15s agua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xdr:row>
          <xdr:rowOff>0</xdr:rowOff>
        </xdr:from>
        <xdr:to>
          <xdr:col>2</xdr:col>
          <xdr:colOff>944880</xdr:colOff>
          <xdr:row>47</xdr:row>
          <xdr:rowOff>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1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15s hexano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611</xdr:row>
          <xdr:rowOff>190500</xdr:rowOff>
        </xdr:from>
        <xdr:to>
          <xdr:col>3</xdr:col>
          <xdr:colOff>419100</xdr:colOff>
          <xdr:row>613</xdr:row>
          <xdr:rowOff>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1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Temp. Aislam &lt; a valor en tabla12.2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612</xdr:row>
          <xdr:rowOff>182880</xdr:rowOff>
        </xdr:from>
        <xdr:to>
          <xdr:col>3</xdr:col>
          <xdr:colOff>68580</xdr:colOff>
          <xdr:row>614</xdr:row>
          <xdr:rowOff>22860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1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hay daños en cableado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728</xdr:row>
          <xdr:rowOff>182880</xdr:rowOff>
        </xdr:from>
        <xdr:to>
          <xdr:col>3</xdr:col>
          <xdr:colOff>487680</xdr:colOff>
          <xdr:row>730</xdr:row>
          <xdr:rowOff>30480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1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Temperatura agua igual a Ta +-5ºC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30480</xdr:rowOff>
        </xdr:from>
        <xdr:to>
          <xdr:col>1</xdr:col>
          <xdr:colOff>68580</xdr:colOff>
          <xdr:row>23</xdr:row>
          <xdr:rowOff>259080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1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30480</xdr:rowOff>
        </xdr:from>
        <xdr:to>
          <xdr:col>1</xdr:col>
          <xdr:colOff>68580</xdr:colOff>
          <xdr:row>42</xdr:row>
          <xdr:rowOff>259080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1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xdr:row>
          <xdr:rowOff>182880</xdr:rowOff>
        </xdr:from>
        <xdr:to>
          <xdr:col>1</xdr:col>
          <xdr:colOff>68580</xdr:colOff>
          <xdr:row>57</xdr:row>
          <xdr:rowOff>60960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1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30480</xdr:rowOff>
        </xdr:from>
        <xdr:to>
          <xdr:col>1</xdr:col>
          <xdr:colOff>68580</xdr:colOff>
          <xdr:row>54</xdr:row>
          <xdr:rowOff>259080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1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80</xdr:row>
          <xdr:rowOff>182880</xdr:rowOff>
        </xdr:from>
        <xdr:to>
          <xdr:col>1</xdr:col>
          <xdr:colOff>68580</xdr:colOff>
          <xdr:row>82</xdr:row>
          <xdr:rowOff>22860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1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110</xdr:row>
          <xdr:rowOff>182880</xdr:rowOff>
        </xdr:from>
        <xdr:to>
          <xdr:col>1</xdr:col>
          <xdr:colOff>68580</xdr:colOff>
          <xdr:row>112</xdr:row>
          <xdr:rowOff>22860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1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xdr:row>
          <xdr:rowOff>0</xdr:rowOff>
        </xdr:from>
        <xdr:to>
          <xdr:col>2</xdr:col>
          <xdr:colOff>533400</xdr:colOff>
          <xdr:row>97</xdr:row>
          <xdr:rowOff>22860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1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138</xdr:row>
          <xdr:rowOff>30480</xdr:rowOff>
        </xdr:from>
        <xdr:to>
          <xdr:col>3</xdr:col>
          <xdr:colOff>335280</xdr:colOff>
          <xdr:row>139</xdr:row>
          <xdr:rowOff>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1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(horno) EQ-SAFE-305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139</xdr:row>
          <xdr:rowOff>38100</xdr:rowOff>
        </xdr:from>
        <xdr:to>
          <xdr:col>5</xdr:col>
          <xdr:colOff>335280</xdr:colOff>
          <xdr:row>140</xdr:row>
          <xdr:rowOff>60960</xdr:rowOff>
        </xdr:to>
        <xdr:sp macro="" textlink="">
          <xdr:nvSpPr>
            <xdr:cNvPr id="4168" name="Check Box 72" descr="Estufa( horno) EQ-CERT-180&#10;" hidden="1">
              <a:extLst>
                <a:ext uri="{63B3BB69-23CF-44E3-9099-C40C66FF867C}">
                  <a14:compatExt spid="_x0000_s4168"/>
                </a:ext>
                <a:ext uri="{FF2B5EF4-FFF2-40B4-BE49-F238E27FC236}">
                  <a16:creationId xmlns:a16="http://schemas.microsoft.com/office/drawing/2014/main" id="{00000000-0008-0000-01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(horno) EQ-SAFE-304   AUTOSTRONG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147</xdr:row>
          <xdr:rowOff>182880</xdr:rowOff>
        </xdr:from>
        <xdr:to>
          <xdr:col>1</xdr:col>
          <xdr:colOff>68580</xdr:colOff>
          <xdr:row>149</xdr:row>
          <xdr:rowOff>22860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1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161</xdr:row>
          <xdr:rowOff>182880</xdr:rowOff>
        </xdr:from>
        <xdr:to>
          <xdr:col>1</xdr:col>
          <xdr:colOff>68580</xdr:colOff>
          <xdr:row>163</xdr:row>
          <xdr:rowOff>22860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1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205</xdr:row>
          <xdr:rowOff>0</xdr:rowOff>
        </xdr:from>
        <xdr:to>
          <xdr:col>5</xdr:col>
          <xdr:colOff>220980</xdr:colOff>
          <xdr:row>205</xdr:row>
          <xdr:rowOff>182880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1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portalámparas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647700</xdr:colOff>
          <xdr:row>166</xdr:row>
          <xdr:rowOff>182880</xdr:rowOff>
        </xdr:from>
        <xdr:to>
          <xdr:col>3</xdr:col>
          <xdr:colOff>83820</xdr:colOff>
          <xdr:row>167</xdr:row>
          <xdr:rowOff>182880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1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tornillos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678180</xdr:colOff>
          <xdr:row>188</xdr:row>
          <xdr:rowOff>0</xdr:rowOff>
        </xdr:from>
        <xdr:to>
          <xdr:col>4</xdr:col>
          <xdr:colOff>274320</xdr:colOff>
          <xdr:row>188</xdr:row>
          <xdr:rowOff>182880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1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uniones atornilladas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678180</xdr:colOff>
          <xdr:row>218</xdr:row>
          <xdr:rowOff>30480</xdr:rowOff>
        </xdr:from>
        <xdr:to>
          <xdr:col>3</xdr:col>
          <xdr:colOff>541020</xdr:colOff>
          <xdr:row>219</xdr:row>
          <xdr:rowOff>22860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1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prensaestopas</a:t>
              </a:r>
            </a:p>
          </xdr:txBody>
        </xdr:sp>
        <xdr:clientData/>
      </xdr:twoCellAnchor>
    </mc:Choice>
    <mc:Fallback/>
  </mc:AlternateContent>
  <xdr:twoCellAnchor>
    <xdr:from>
      <xdr:col>2</xdr:col>
      <xdr:colOff>9525</xdr:colOff>
      <xdr:row>52</xdr:row>
      <xdr:rowOff>19050</xdr:rowOff>
    </xdr:from>
    <xdr:to>
      <xdr:col>2</xdr:col>
      <xdr:colOff>1209675</xdr:colOff>
      <xdr:row>53</xdr:row>
      <xdr:rowOff>0</xdr:rowOff>
    </xdr:to>
    <xdr:sp macro="" textlink="">
      <xdr:nvSpPr>
        <xdr:cNvPr id="5" name="Rectángulo 4">
          <a:extLst>
            <a:ext uri="{FF2B5EF4-FFF2-40B4-BE49-F238E27FC236}">
              <a16:creationId xmlns:a16="http://schemas.microsoft.com/office/drawing/2014/main" id="{00000000-0008-0000-0100-000005000000}"/>
            </a:ext>
          </a:extLst>
        </xdr:cNvPr>
        <xdr:cNvSpPr/>
      </xdr:nvSpPr>
      <xdr:spPr>
        <a:xfrm>
          <a:off x="1143000" y="3743325"/>
          <a:ext cx="1200150" cy="171450"/>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231</xdr:row>
          <xdr:rowOff>182880</xdr:rowOff>
        </xdr:from>
        <xdr:to>
          <xdr:col>1</xdr:col>
          <xdr:colOff>68580</xdr:colOff>
          <xdr:row>233</xdr:row>
          <xdr:rowOff>22860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1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xdr:row>
          <xdr:rowOff>182880</xdr:rowOff>
        </xdr:from>
        <xdr:to>
          <xdr:col>1</xdr:col>
          <xdr:colOff>68580</xdr:colOff>
          <xdr:row>253</xdr:row>
          <xdr:rowOff>22860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1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264</xdr:row>
          <xdr:rowOff>182880</xdr:rowOff>
        </xdr:from>
        <xdr:to>
          <xdr:col>1</xdr:col>
          <xdr:colOff>68580</xdr:colOff>
          <xdr:row>266</xdr:row>
          <xdr:rowOff>22860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1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287</xdr:row>
          <xdr:rowOff>182880</xdr:rowOff>
        </xdr:from>
        <xdr:to>
          <xdr:col>1</xdr:col>
          <xdr:colOff>68580</xdr:colOff>
          <xdr:row>289</xdr:row>
          <xdr:rowOff>60960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1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303</xdr:row>
          <xdr:rowOff>182880</xdr:rowOff>
        </xdr:from>
        <xdr:to>
          <xdr:col>1</xdr:col>
          <xdr:colOff>68580</xdr:colOff>
          <xdr:row>305</xdr:row>
          <xdr:rowOff>22860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308</xdr:row>
          <xdr:rowOff>30480</xdr:rowOff>
        </xdr:from>
        <xdr:to>
          <xdr:col>4</xdr:col>
          <xdr:colOff>297180</xdr:colOff>
          <xdr:row>309</xdr:row>
          <xdr:rowOff>38100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1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Ensayos externos (no realizados por nosotros)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309</xdr:row>
          <xdr:rowOff>0</xdr:rowOff>
        </xdr:from>
        <xdr:to>
          <xdr:col>5</xdr:col>
          <xdr:colOff>144780</xdr:colOff>
          <xdr:row>310</xdr:row>
          <xdr:rowOff>60960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100-00006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Ensayos realiados por nosotros (ver excel resultados)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304</xdr:row>
          <xdr:rowOff>182880</xdr:rowOff>
        </xdr:from>
        <xdr:to>
          <xdr:col>2</xdr:col>
          <xdr:colOff>365760</xdr:colOff>
          <xdr:row>306</xdr:row>
          <xdr:rowOff>22860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1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1021080</xdr:colOff>
          <xdr:row>304</xdr:row>
          <xdr:rowOff>182880</xdr:rowOff>
        </xdr:from>
        <xdr:to>
          <xdr:col>3</xdr:col>
          <xdr:colOff>38100</xdr:colOff>
          <xdr:row>306</xdr:row>
          <xdr:rowOff>22860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1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525780</xdr:colOff>
          <xdr:row>304</xdr:row>
          <xdr:rowOff>182880</xdr:rowOff>
        </xdr:from>
        <xdr:to>
          <xdr:col>2</xdr:col>
          <xdr:colOff>982980</xdr:colOff>
          <xdr:row>306</xdr:row>
          <xdr:rowOff>22860</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100-00006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321</xdr:row>
          <xdr:rowOff>182880</xdr:rowOff>
        </xdr:from>
        <xdr:to>
          <xdr:col>1</xdr:col>
          <xdr:colOff>68580</xdr:colOff>
          <xdr:row>323</xdr:row>
          <xdr:rowOff>22860</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1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346</xdr:row>
          <xdr:rowOff>152400</xdr:rowOff>
        </xdr:from>
        <xdr:to>
          <xdr:col>1</xdr:col>
          <xdr:colOff>68580</xdr:colOff>
          <xdr:row>348</xdr:row>
          <xdr:rowOff>7620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1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357</xdr:row>
          <xdr:rowOff>182880</xdr:rowOff>
        </xdr:from>
        <xdr:to>
          <xdr:col>1</xdr:col>
          <xdr:colOff>68580</xdr:colOff>
          <xdr:row>359</xdr:row>
          <xdr:rowOff>45720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100-00006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19050</xdr:colOff>
      <xdr:row>368</xdr:row>
      <xdr:rowOff>9526</xdr:rowOff>
    </xdr:from>
    <xdr:to>
      <xdr:col>1</xdr:col>
      <xdr:colOff>0</xdr:colOff>
      <xdr:row>368</xdr:row>
      <xdr:rowOff>200026</xdr:rowOff>
    </xdr:to>
    <xdr:sp macro="" textlink="">
      <xdr:nvSpPr>
        <xdr:cNvPr id="10" name="CuadroTexto 9">
          <a:extLst>
            <a:ext uri="{FF2B5EF4-FFF2-40B4-BE49-F238E27FC236}">
              <a16:creationId xmlns:a16="http://schemas.microsoft.com/office/drawing/2014/main" id="{00000000-0008-0000-0100-00000A000000}"/>
            </a:ext>
          </a:extLst>
        </xdr:cNvPr>
        <xdr:cNvSpPr txBox="1"/>
      </xdr:nvSpPr>
      <xdr:spPr>
        <a:xfrm>
          <a:off x="19050" y="2647951"/>
          <a:ext cx="419100" cy="1905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569</xdr:row>
          <xdr:rowOff>30480</xdr:rowOff>
        </xdr:from>
        <xdr:to>
          <xdr:col>1</xdr:col>
          <xdr:colOff>68580</xdr:colOff>
          <xdr:row>569</xdr:row>
          <xdr:rowOff>259080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1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579</xdr:row>
          <xdr:rowOff>0</xdr:rowOff>
        </xdr:from>
        <xdr:to>
          <xdr:col>3</xdr:col>
          <xdr:colOff>449580</xdr:colOff>
          <xdr:row>580</xdr:row>
          <xdr:rowOff>30480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100-00006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EQ-SAFE-442 (Elabo)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580</xdr:row>
          <xdr:rowOff>0</xdr:rowOff>
        </xdr:from>
        <xdr:to>
          <xdr:col>3</xdr:col>
          <xdr:colOff>449580</xdr:colOff>
          <xdr:row>581</xdr:row>
          <xdr:rowOff>30480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1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(GW INSTEK)</a:t>
              </a:r>
            </a:p>
          </xdr:txBody>
        </xdr:sp>
        <xdr:clientData/>
      </xdr:twoCellAnchor>
    </mc:Choice>
    <mc:Fallback/>
  </mc:AlternateContent>
  <xdr:twoCellAnchor>
    <xdr:from>
      <xdr:col>2</xdr:col>
      <xdr:colOff>28575</xdr:colOff>
      <xdr:row>587</xdr:row>
      <xdr:rowOff>9525</xdr:rowOff>
    </xdr:from>
    <xdr:to>
      <xdr:col>3</xdr:col>
      <xdr:colOff>600075</xdr:colOff>
      <xdr:row>587</xdr:row>
      <xdr:rowOff>180975</xdr:rowOff>
    </xdr:to>
    <xdr:sp macro="" textlink="">
      <xdr:nvSpPr>
        <xdr:cNvPr id="11" name="Rectángulo 10">
          <a:extLst>
            <a:ext uri="{FF2B5EF4-FFF2-40B4-BE49-F238E27FC236}">
              <a16:creationId xmlns:a16="http://schemas.microsoft.com/office/drawing/2014/main" id="{00000000-0008-0000-0100-00000B000000}"/>
            </a:ext>
          </a:extLst>
        </xdr:cNvPr>
        <xdr:cNvSpPr/>
      </xdr:nvSpPr>
      <xdr:spPr>
        <a:xfrm>
          <a:off x="1162050" y="6572250"/>
          <a:ext cx="2057400" cy="171450"/>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589</xdr:row>
          <xdr:rowOff>30480</xdr:rowOff>
        </xdr:from>
        <xdr:to>
          <xdr:col>1</xdr:col>
          <xdr:colOff>68580</xdr:colOff>
          <xdr:row>589</xdr:row>
          <xdr:rowOff>259080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1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591</xdr:row>
          <xdr:rowOff>182880</xdr:rowOff>
        </xdr:from>
        <xdr:to>
          <xdr:col>1</xdr:col>
          <xdr:colOff>68580</xdr:colOff>
          <xdr:row>593</xdr:row>
          <xdr:rowOff>30480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1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606</xdr:row>
          <xdr:rowOff>182880</xdr:rowOff>
        </xdr:from>
        <xdr:to>
          <xdr:col>1</xdr:col>
          <xdr:colOff>68580</xdr:colOff>
          <xdr:row>608</xdr:row>
          <xdr:rowOff>30480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1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28575</xdr:colOff>
      <xdr:row>620</xdr:row>
      <xdr:rowOff>19050</xdr:rowOff>
    </xdr:from>
    <xdr:to>
      <xdr:col>4</xdr:col>
      <xdr:colOff>19050</xdr:colOff>
      <xdr:row>620</xdr:row>
      <xdr:rowOff>180975</xdr:rowOff>
    </xdr:to>
    <xdr:sp macro="" textlink="">
      <xdr:nvSpPr>
        <xdr:cNvPr id="3" name="Rectángulo 2">
          <a:extLst>
            <a:ext uri="{FF2B5EF4-FFF2-40B4-BE49-F238E27FC236}">
              <a16:creationId xmlns:a16="http://schemas.microsoft.com/office/drawing/2014/main" id="{00000000-0008-0000-0100-000003000000}"/>
            </a:ext>
          </a:extLst>
        </xdr:cNvPr>
        <xdr:cNvSpPr/>
      </xdr:nvSpPr>
      <xdr:spPr>
        <a:xfrm>
          <a:off x="1162050" y="84601050"/>
          <a:ext cx="2085975" cy="16192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620</xdr:row>
      <xdr:rowOff>9525</xdr:rowOff>
    </xdr:from>
    <xdr:to>
      <xdr:col>0</xdr:col>
      <xdr:colOff>428625</xdr:colOff>
      <xdr:row>621</xdr:row>
      <xdr:rowOff>9524</xdr:rowOff>
    </xdr:to>
    <xdr:sp macro="" textlink="">
      <xdr:nvSpPr>
        <xdr:cNvPr id="6" name="Rectángulo 5">
          <a:extLst>
            <a:ext uri="{FF2B5EF4-FFF2-40B4-BE49-F238E27FC236}">
              <a16:creationId xmlns:a16="http://schemas.microsoft.com/office/drawing/2014/main" id="{00000000-0008-0000-0100-000006000000}"/>
            </a:ext>
          </a:extLst>
        </xdr:cNvPr>
        <xdr:cNvSpPr/>
      </xdr:nvSpPr>
      <xdr:spPr>
        <a:xfrm>
          <a:off x="0" y="9696450"/>
          <a:ext cx="428625" cy="1904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228600</xdr:colOff>
          <xdr:row>626</xdr:row>
          <xdr:rowOff>30480</xdr:rowOff>
        </xdr:from>
        <xdr:to>
          <xdr:col>3</xdr:col>
          <xdr:colOff>373380</xdr:colOff>
          <xdr:row>627</xdr:row>
          <xdr:rowOff>38100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1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UNI-T (EQ-SAFE-437)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627</xdr:row>
          <xdr:rowOff>0</xdr:rowOff>
        </xdr:from>
        <xdr:to>
          <xdr:col>3</xdr:col>
          <xdr:colOff>495300</xdr:colOff>
          <xdr:row>628</xdr:row>
          <xdr:rowOff>30480</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100-00006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FLUKE (EQ-SAFE-428)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627</xdr:row>
          <xdr:rowOff>182880</xdr:rowOff>
        </xdr:from>
        <xdr:to>
          <xdr:col>4</xdr:col>
          <xdr:colOff>144780</xdr:colOff>
          <xdr:row>629</xdr:row>
          <xdr:rowOff>22860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1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Pinza-multímetro UNI-T (EQ-SAFE-430)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629</xdr:row>
          <xdr:rowOff>30480</xdr:rowOff>
        </xdr:from>
        <xdr:to>
          <xdr:col>3</xdr:col>
          <xdr:colOff>495300</xdr:colOff>
          <xdr:row>630</xdr:row>
          <xdr:rowOff>38100</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1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Osciloscopio FLUKE (EQ-SAFE-409)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622</xdr:row>
          <xdr:rowOff>30480</xdr:rowOff>
        </xdr:from>
        <xdr:to>
          <xdr:col>1</xdr:col>
          <xdr:colOff>68580</xdr:colOff>
          <xdr:row>622</xdr:row>
          <xdr:rowOff>259080</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100-00007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9525</xdr:colOff>
      <xdr:row>637</xdr:row>
      <xdr:rowOff>171450</xdr:rowOff>
    </xdr:from>
    <xdr:to>
      <xdr:col>3</xdr:col>
      <xdr:colOff>600075</xdr:colOff>
      <xdr:row>638</xdr:row>
      <xdr:rowOff>180975</xdr:rowOff>
    </xdr:to>
    <xdr:sp macro="" textlink="">
      <xdr:nvSpPr>
        <xdr:cNvPr id="7" name="Rectángulo 6">
          <a:extLst>
            <a:ext uri="{FF2B5EF4-FFF2-40B4-BE49-F238E27FC236}">
              <a16:creationId xmlns:a16="http://schemas.microsoft.com/office/drawing/2014/main" id="{00000000-0008-0000-0100-000007000000}"/>
            </a:ext>
          </a:extLst>
        </xdr:cNvPr>
        <xdr:cNvSpPr/>
      </xdr:nvSpPr>
      <xdr:spPr>
        <a:xfrm>
          <a:off x="1143000" y="13173075"/>
          <a:ext cx="2076450" cy="200025"/>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220980</xdr:colOff>
          <xdr:row>643</xdr:row>
          <xdr:rowOff>30480</xdr:rowOff>
        </xdr:from>
        <xdr:to>
          <xdr:col>3</xdr:col>
          <xdr:colOff>563880</xdr:colOff>
          <xdr:row>644</xdr:row>
          <xdr:rowOff>38100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1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1 (EQ-SAFE-301)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643</xdr:row>
          <xdr:rowOff>182880</xdr:rowOff>
        </xdr:from>
        <xdr:to>
          <xdr:col>3</xdr:col>
          <xdr:colOff>563880</xdr:colOff>
          <xdr:row>645</xdr:row>
          <xdr:rowOff>22860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1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2 (EQ-SAFE-302)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650</xdr:row>
          <xdr:rowOff>152400</xdr:rowOff>
        </xdr:from>
        <xdr:to>
          <xdr:col>3</xdr:col>
          <xdr:colOff>563880</xdr:colOff>
          <xdr:row>651</xdr:row>
          <xdr:rowOff>182880</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100-00007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 PORTÁTIL (EQ-SAFE-323)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651</xdr:row>
          <xdr:rowOff>144780</xdr:rowOff>
        </xdr:from>
        <xdr:to>
          <xdr:col>3</xdr:col>
          <xdr:colOff>563880</xdr:colOff>
          <xdr:row>652</xdr:row>
          <xdr:rowOff>152400</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1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 PORTÁTIL (EQ-SAFE-324)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645</xdr:row>
          <xdr:rowOff>144780</xdr:rowOff>
        </xdr:from>
        <xdr:to>
          <xdr:col>3</xdr:col>
          <xdr:colOff>563880</xdr:colOff>
          <xdr:row>646</xdr:row>
          <xdr:rowOff>175260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1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3 (EQ-SAFE-003)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649</xdr:row>
          <xdr:rowOff>182880</xdr:rowOff>
        </xdr:from>
        <xdr:to>
          <xdr:col>4</xdr:col>
          <xdr:colOff>190500</xdr:colOff>
          <xdr:row>651</xdr:row>
          <xdr:rowOff>22860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1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EQ-SAFE-329 (Fijo en  Cámara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652</xdr:row>
          <xdr:rowOff>114300</xdr:rowOff>
        </xdr:from>
        <xdr:to>
          <xdr:col>3</xdr:col>
          <xdr:colOff>563880</xdr:colOff>
          <xdr:row>653</xdr:row>
          <xdr:rowOff>144780</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1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RESERVADO 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640</xdr:row>
          <xdr:rowOff>30480</xdr:rowOff>
        </xdr:from>
        <xdr:to>
          <xdr:col>1</xdr:col>
          <xdr:colOff>68580</xdr:colOff>
          <xdr:row>640</xdr:row>
          <xdr:rowOff>259080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1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658</xdr:row>
          <xdr:rowOff>182880</xdr:rowOff>
        </xdr:from>
        <xdr:to>
          <xdr:col>1</xdr:col>
          <xdr:colOff>68580</xdr:colOff>
          <xdr:row>660</xdr:row>
          <xdr:rowOff>22860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1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670</xdr:row>
          <xdr:rowOff>182880</xdr:rowOff>
        </xdr:from>
        <xdr:to>
          <xdr:col>1</xdr:col>
          <xdr:colOff>68580</xdr:colOff>
          <xdr:row>672</xdr:row>
          <xdr:rowOff>22860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1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682</xdr:row>
          <xdr:rowOff>182880</xdr:rowOff>
        </xdr:from>
        <xdr:to>
          <xdr:col>1</xdr:col>
          <xdr:colOff>68580</xdr:colOff>
          <xdr:row>684</xdr:row>
          <xdr:rowOff>22860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1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694</xdr:row>
          <xdr:rowOff>182880</xdr:rowOff>
        </xdr:from>
        <xdr:to>
          <xdr:col>1</xdr:col>
          <xdr:colOff>68580</xdr:colOff>
          <xdr:row>696</xdr:row>
          <xdr:rowOff>22860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1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19050</xdr:colOff>
      <xdr:row>706</xdr:row>
      <xdr:rowOff>0</xdr:rowOff>
    </xdr:from>
    <xdr:to>
      <xdr:col>0</xdr:col>
      <xdr:colOff>428625</xdr:colOff>
      <xdr:row>706</xdr:row>
      <xdr:rowOff>180975</xdr:rowOff>
    </xdr:to>
    <xdr:sp macro="" textlink="">
      <xdr:nvSpPr>
        <xdr:cNvPr id="12" name="Rectángulo 11">
          <a:extLst>
            <a:ext uri="{FF2B5EF4-FFF2-40B4-BE49-F238E27FC236}">
              <a16:creationId xmlns:a16="http://schemas.microsoft.com/office/drawing/2014/main" id="{00000000-0008-0000-0100-00000C000000}"/>
            </a:ext>
          </a:extLst>
        </xdr:cNvPr>
        <xdr:cNvSpPr/>
      </xdr:nvSpPr>
      <xdr:spPr>
        <a:xfrm>
          <a:off x="19050" y="17706975"/>
          <a:ext cx="409575" cy="180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28575</xdr:colOff>
      <xdr:row>706</xdr:row>
      <xdr:rowOff>0</xdr:rowOff>
    </xdr:from>
    <xdr:to>
      <xdr:col>4</xdr:col>
      <xdr:colOff>600075</xdr:colOff>
      <xdr:row>706</xdr:row>
      <xdr:rowOff>180975</xdr:rowOff>
    </xdr:to>
    <xdr:sp macro="" textlink="">
      <xdr:nvSpPr>
        <xdr:cNvPr id="13" name="Rectángulo 12">
          <a:extLst>
            <a:ext uri="{FF2B5EF4-FFF2-40B4-BE49-F238E27FC236}">
              <a16:creationId xmlns:a16="http://schemas.microsoft.com/office/drawing/2014/main" id="{00000000-0008-0000-0100-00000D000000}"/>
            </a:ext>
          </a:extLst>
        </xdr:cNvPr>
        <xdr:cNvSpPr/>
      </xdr:nvSpPr>
      <xdr:spPr>
        <a:xfrm>
          <a:off x="1162050" y="12753975"/>
          <a:ext cx="2667000" cy="18097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708</xdr:row>
          <xdr:rowOff>30480</xdr:rowOff>
        </xdr:from>
        <xdr:to>
          <xdr:col>1</xdr:col>
          <xdr:colOff>68580</xdr:colOff>
          <xdr:row>708</xdr:row>
          <xdr:rowOff>259080</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100-00008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719</xdr:row>
          <xdr:rowOff>182880</xdr:rowOff>
        </xdr:from>
        <xdr:to>
          <xdr:col>1</xdr:col>
          <xdr:colOff>68580</xdr:colOff>
          <xdr:row>721</xdr:row>
          <xdr:rowOff>38100</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1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734</xdr:row>
          <xdr:rowOff>182880</xdr:rowOff>
        </xdr:from>
        <xdr:to>
          <xdr:col>1</xdr:col>
          <xdr:colOff>68580</xdr:colOff>
          <xdr:row>736</xdr:row>
          <xdr:rowOff>30480</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1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745</xdr:row>
          <xdr:rowOff>182880</xdr:rowOff>
        </xdr:from>
        <xdr:to>
          <xdr:col>1</xdr:col>
          <xdr:colOff>68580</xdr:colOff>
          <xdr:row>747</xdr:row>
          <xdr:rowOff>38100</xdr:rowOff>
        </xdr:to>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100-00008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38100</xdr:colOff>
      <xdr:row>765</xdr:row>
      <xdr:rowOff>180974</xdr:rowOff>
    </xdr:from>
    <xdr:to>
      <xdr:col>5</xdr:col>
      <xdr:colOff>0</xdr:colOff>
      <xdr:row>766</xdr:row>
      <xdr:rowOff>190499</xdr:rowOff>
    </xdr:to>
    <xdr:sp macro="" textlink="">
      <xdr:nvSpPr>
        <xdr:cNvPr id="14" name="Rectángulo 13">
          <a:extLst>
            <a:ext uri="{FF2B5EF4-FFF2-40B4-BE49-F238E27FC236}">
              <a16:creationId xmlns:a16="http://schemas.microsoft.com/office/drawing/2014/main" id="{00000000-0008-0000-0100-00000E000000}"/>
            </a:ext>
          </a:extLst>
        </xdr:cNvPr>
        <xdr:cNvSpPr/>
      </xdr:nvSpPr>
      <xdr:spPr>
        <a:xfrm>
          <a:off x="1171575" y="16087724"/>
          <a:ext cx="2667000" cy="200025"/>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766</xdr:row>
      <xdr:rowOff>0</xdr:rowOff>
    </xdr:from>
    <xdr:to>
      <xdr:col>1</xdr:col>
      <xdr:colOff>0</xdr:colOff>
      <xdr:row>766</xdr:row>
      <xdr:rowOff>180975</xdr:rowOff>
    </xdr:to>
    <xdr:sp macro="" textlink="">
      <xdr:nvSpPr>
        <xdr:cNvPr id="15" name="Rectángulo 14">
          <a:extLst>
            <a:ext uri="{FF2B5EF4-FFF2-40B4-BE49-F238E27FC236}">
              <a16:creationId xmlns:a16="http://schemas.microsoft.com/office/drawing/2014/main" id="{00000000-0008-0000-0100-00000F000000}"/>
            </a:ext>
          </a:extLst>
        </xdr:cNvPr>
        <xdr:cNvSpPr/>
      </xdr:nvSpPr>
      <xdr:spPr>
        <a:xfrm>
          <a:off x="0" y="16097250"/>
          <a:ext cx="438150" cy="180975"/>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114300</xdr:colOff>
          <xdr:row>773</xdr:row>
          <xdr:rowOff>182880</xdr:rowOff>
        </xdr:from>
        <xdr:to>
          <xdr:col>3</xdr:col>
          <xdr:colOff>563880</xdr:colOff>
          <xdr:row>775</xdr:row>
          <xdr:rowOff>22860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1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RESERVADO FUTURA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799</xdr:row>
          <xdr:rowOff>182880</xdr:rowOff>
        </xdr:from>
        <xdr:to>
          <xdr:col>3</xdr:col>
          <xdr:colOff>38100</xdr:colOff>
          <xdr:row>801</xdr:row>
          <xdr:rowOff>22860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1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EQ-SAFE-402 (GPT-15002)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800</xdr:row>
          <xdr:rowOff>152400</xdr:rowOff>
        </xdr:from>
        <xdr:to>
          <xdr:col>3</xdr:col>
          <xdr:colOff>601980</xdr:colOff>
          <xdr:row>801</xdr:row>
          <xdr:rowOff>182880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1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RESERVADO FUTURA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798</xdr:row>
          <xdr:rowOff>182880</xdr:rowOff>
        </xdr:from>
        <xdr:to>
          <xdr:col>3</xdr:col>
          <xdr:colOff>68580</xdr:colOff>
          <xdr:row>800</xdr:row>
          <xdr:rowOff>30480</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1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(GPT-15004)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823</xdr:row>
          <xdr:rowOff>182880</xdr:rowOff>
        </xdr:from>
        <xdr:to>
          <xdr:col>2</xdr:col>
          <xdr:colOff>1478280</xdr:colOff>
          <xdr:row>825</xdr:row>
          <xdr:rowOff>22860</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1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EQ-SAFE-441 (AINUO)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824</xdr:row>
          <xdr:rowOff>182880</xdr:rowOff>
        </xdr:from>
        <xdr:to>
          <xdr:col>3</xdr:col>
          <xdr:colOff>190500</xdr:colOff>
          <xdr:row>826</xdr:row>
          <xdr:rowOff>22860</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1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EQ-SAFE-404 (GLC-1000)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768</xdr:row>
          <xdr:rowOff>30480</xdr:rowOff>
        </xdr:from>
        <xdr:to>
          <xdr:col>1</xdr:col>
          <xdr:colOff>68580</xdr:colOff>
          <xdr:row>768</xdr:row>
          <xdr:rowOff>259080</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1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769</xdr:row>
          <xdr:rowOff>182880</xdr:rowOff>
        </xdr:from>
        <xdr:to>
          <xdr:col>1</xdr:col>
          <xdr:colOff>68580</xdr:colOff>
          <xdr:row>771</xdr:row>
          <xdr:rowOff>22860</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1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795</xdr:row>
          <xdr:rowOff>182880</xdr:rowOff>
        </xdr:from>
        <xdr:to>
          <xdr:col>1</xdr:col>
          <xdr:colOff>68580</xdr:colOff>
          <xdr:row>797</xdr:row>
          <xdr:rowOff>22860</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1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820</xdr:row>
          <xdr:rowOff>182880</xdr:rowOff>
        </xdr:from>
        <xdr:to>
          <xdr:col>1</xdr:col>
          <xdr:colOff>68580</xdr:colOff>
          <xdr:row>822</xdr:row>
          <xdr:rowOff>22860</xdr:rowOff>
        </xdr:to>
        <xdr:sp macro="" textlink="">
          <xdr:nvSpPr>
            <xdr:cNvPr id="4239" name="Check Box 143" hidden="1">
              <a:extLst>
                <a:ext uri="{63B3BB69-23CF-44E3-9099-C40C66FF867C}">
                  <a14:compatExt spid="_x0000_s4239"/>
                </a:ext>
                <a:ext uri="{FF2B5EF4-FFF2-40B4-BE49-F238E27FC236}">
                  <a16:creationId xmlns:a16="http://schemas.microsoft.com/office/drawing/2014/main" id="{00000000-0008-0000-0100-00008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19050</xdr:colOff>
      <xdr:row>838</xdr:row>
      <xdr:rowOff>161925</xdr:rowOff>
    </xdr:from>
    <xdr:to>
      <xdr:col>4</xdr:col>
      <xdr:colOff>590550</xdr:colOff>
      <xdr:row>839</xdr:row>
      <xdr:rowOff>171450</xdr:rowOff>
    </xdr:to>
    <xdr:sp macro="" textlink="">
      <xdr:nvSpPr>
        <xdr:cNvPr id="16" name="Rectángulo 15">
          <a:extLst>
            <a:ext uri="{FF2B5EF4-FFF2-40B4-BE49-F238E27FC236}">
              <a16:creationId xmlns:a16="http://schemas.microsoft.com/office/drawing/2014/main" id="{00000000-0008-0000-0100-000010000000}"/>
            </a:ext>
          </a:extLst>
        </xdr:cNvPr>
        <xdr:cNvSpPr/>
      </xdr:nvSpPr>
      <xdr:spPr>
        <a:xfrm>
          <a:off x="1152525" y="11087100"/>
          <a:ext cx="2667000" cy="20002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19050</xdr:colOff>
      <xdr:row>838</xdr:row>
      <xdr:rowOff>180975</xdr:rowOff>
    </xdr:from>
    <xdr:to>
      <xdr:col>1</xdr:col>
      <xdr:colOff>0</xdr:colOff>
      <xdr:row>840</xdr:row>
      <xdr:rowOff>0</xdr:rowOff>
    </xdr:to>
    <xdr:sp macro="" textlink="">
      <xdr:nvSpPr>
        <xdr:cNvPr id="17" name="Rectángulo 16">
          <a:extLst>
            <a:ext uri="{FF2B5EF4-FFF2-40B4-BE49-F238E27FC236}">
              <a16:creationId xmlns:a16="http://schemas.microsoft.com/office/drawing/2014/main" id="{00000000-0008-0000-0100-000011000000}"/>
            </a:ext>
          </a:extLst>
        </xdr:cNvPr>
        <xdr:cNvSpPr/>
      </xdr:nvSpPr>
      <xdr:spPr>
        <a:xfrm>
          <a:off x="19050" y="11106150"/>
          <a:ext cx="419100" cy="200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537</xdr:row>
          <xdr:rowOff>30480</xdr:rowOff>
        </xdr:from>
        <xdr:to>
          <xdr:col>1</xdr:col>
          <xdr:colOff>68580</xdr:colOff>
          <xdr:row>538</xdr:row>
          <xdr:rowOff>38100</xdr:rowOff>
        </xdr:to>
        <xdr:sp macro="" textlink="">
          <xdr:nvSpPr>
            <xdr:cNvPr id="4240" name="Check Box 144" hidden="1">
              <a:extLst>
                <a:ext uri="{63B3BB69-23CF-44E3-9099-C40C66FF867C}">
                  <a14:compatExt spid="_x0000_s4240"/>
                </a:ext>
                <a:ext uri="{FF2B5EF4-FFF2-40B4-BE49-F238E27FC236}">
                  <a16:creationId xmlns:a16="http://schemas.microsoft.com/office/drawing/2014/main" id="{00000000-0008-0000-0100-00009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543</xdr:row>
          <xdr:rowOff>190500</xdr:rowOff>
        </xdr:from>
        <xdr:to>
          <xdr:col>1</xdr:col>
          <xdr:colOff>68580</xdr:colOff>
          <xdr:row>545</xdr:row>
          <xdr:rowOff>30480</xdr:rowOff>
        </xdr:to>
        <xdr:sp macro="" textlink="">
          <xdr:nvSpPr>
            <xdr:cNvPr id="4241" name="Check Box 145" hidden="1">
              <a:extLst>
                <a:ext uri="{63B3BB69-23CF-44E3-9099-C40C66FF867C}">
                  <a14:compatExt spid="_x0000_s4241"/>
                </a:ext>
                <a:ext uri="{FF2B5EF4-FFF2-40B4-BE49-F238E27FC236}">
                  <a16:creationId xmlns:a16="http://schemas.microsoft.com/office/drawing/2014/main" id="{00000000-0008-0000-0100-00009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556</xdr:row>
          <xdr:rowOff>30480</xdr:rowOff>
        </xdr:from>
        <xdr:to>
          <xdr:col>1</xdr:col>
          <xdr:colOff>68580</xdr:colOff>
          <xdr:row>557</xdr:row>
          <xdr:rowOff>38100</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100-00009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0</xdr:colOff>
      <xdr:row>567</xdr:row>
      <xdr:rowOff>0</xdr:rowOff>
    </xdr:from>
    <xdr:to>
      <xdr:col>1</xdr:col>
      <xdr:colOff>0</xdr:colOff>
      <xdr:row>567</xdr:row>
      <xdr:rowOff>200025</xdr:rowOff>
    </xdr:to>
    <xdr:sp macro="" textlink="">
      <xdr:nvSpPr>
        <xdr:cNvPr id="18" name="Rectángulo 17">
          <a:extLst>
            <a:ext uri="{FF2B5EF4-FFF2-40B4-BE49-F238E27FC236}">
              <a16:creationId xmlns:a16="http://schemas.microsoft.com/office/drawing/2014/main" id="{00000000-0008-0000-0100-000012000000}"/>
            </a:ext>
          </a:extLst>
        </xdr:cNvPr>
        <xdr:cNvSpPr/>
      </xdr:nvSpPr>
      <xdr:spPr>
        <a:xfrm>
          <a:off x="0" y="7096125"/>
          <a:ext cx="438150" cy="200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114300</xdr:colOff>
          <xdr:row>959</xdr:row>
          <xdr:rowOff>30480</xdr:rowOff>
        </xdr:from>
        <xdr:to>
          <xdr:col>5</xdr:col>
          <xdr:colOff>419100</xdr:colOff>
          <xdr:row>960</xdr:row>
          <xdr:rowOff>0</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100-00009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Diámetro en el extremo del hilo (4mm±0,07mm aprox)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960</xdr:row>
          <xdr:rowOff>0</xdr:rowOff>
        </xdr:from>
        <xdr:to>
          <xdr:col>5</xdr:col>
          <xdr:colOff>419100</xdr:colOff>
          <xdr:row>960</xdr:row>
          <xdr:rowOff>182880</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100-00009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limita mecánicamente la penetraión de 7mm ± 0,5 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961</xdr:row>
          <xdr:rowOff>0</xdr:rowOff>
        </xdr:from>
        <xdr:to>
          <xdr:col>5</xdr:col>
          <xdr:colOff>419100</xdr:colOff>
          <xdr:row>961</xdr:row>
          <xdr:rowOff>182880</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100-00009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coloca la plancha de madera con papel  a 200 mm. ± 5 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962</xdr:row>
          <xdr:rowOff>0</xdr:rowOff>
        </xdr:from>
        <xdr:to>
          <xdr:col>5</xdr:col>
          <xdr:colOff>716280</xdr:colOff>
          <xdr:row>962</xdr:row>
          <xdr:rowOff>182880</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100-00009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verifica la relacción correcta entre corriente y temperatura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912</xdr:row>
          <xdr:rowOff>30480</xdr:rowOff>
        </xdr:from>
        <xdr:to>
          <xdr:col>5</xdr:col>
          <xdr:colOff>419100</xdr:colOff>
          <xdr:row>913</xdr:row>
          <xdr:rowOff>0</xdr:rowOff>
        </xdr:to>
        <xdr:sp macro="" textlink="">
          <xdr:nvSpPr>
            <xdr:cNvPr id="4250" name="Check Box 154" hidden="1">
              <a:extLst>
                <a:ext uri="{63B3BB69-23CF-44E3-9099-C40C66FF867C}">
                  <a14:compatExt spid="_x0000_s4250"/>
                </a:ext>
                <a:ext uri="{FF2B5EF4-FFF2-40B4-BE49-F238E27FC236}">
                  <a16:creationId xmlns:a16="http://schemas.microsoft.com/office/drawing/2014/main" id="{00000000-0008-0000-0100-00009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realiza el ajuste para una llama de 12mm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913</xdr:row>
          <xdr:rowOff>0</xdr:rowOff>
        </xdr:from>
        <xdr:to>
          <xdr:col>5</xdr:col>
          <xdr:colOff>419100</xdr:colOff>
          <xdr:row>913</xdr:row>
          <xdr:rowOff>182880</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100-00009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espera 5min hasta estabilización el quemador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914</xdr:row>
          <xdr:rowOff>0</xdr:rowOff>
        </xdr:from>
        <xdr:to>
          <xdr:col>5</xdr:col>
          <xdr:colOff>419100</xdr:colOff>
          <xdr:row>914</xdr:row>
          <xdr:rowOff>182880</xdr:rowOff>
        </xdr:to>
        <xdr:sp macro="" textlink="">
          <xdr:nvSpPr>
            <xdr:cNvPr id="4252" name="Check Box 156" hidden="1">
              <a:extLst>
                <a:ext uri="{63B3BB69-23CF-44E3-9099-C40C66FF867C}">
                  <a14:compatExt spid="_x0000_s4252"/>
                </a:ext>
                <a:ext uri="{FF2B5EF4-FFF2-40B4-BE49-F238E27FC236}">
                  <a16:creationId xmlns:a16="http://schemas.microsoft.com/office/drawing/2014/main" id="{00000000-0008-0000-0100-00009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coloca el tubo del quemador a un ángulo de 45±5º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915</xdr:row>
          <xdr:rowOff>0</xdr:rowOff>
        </xdr:from>
        <xdr:to>
          <xdr:col>5</xdr:col>
          <xdr:colOff>419100</xdr:colOff>
          <xdr:row>915</xdr:row>
          <xdr:rowOff>182880</xdr:rowOff>
        </xdr:to>
        <xdr:sp macro="" textlink="">
          <xdr:nvSpPr>
            <xdr:cNvPr id="4253" name="Check Box 157" hidden="1">
              <a:extLst>
                <a:ext uri="{63B3BB69-23CF-44E3-9099-C40C66FF867C}">
                  <a14:compatExt spid="_x0000_s4253"/>
                </a:ext>
                <a:ext uri="{FF2B5EF4-FFF2-40B4-BE49-F238E27FC236}">
                  <a16:creationId xmlns:a16="http://schemas.microsoft.com/office/drawing/2014/main" id="{00000000-0008-0000-0100-00009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Distancia muestra-llama: 8mm±1mm ö 5m±1mm (si horizontal)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841</xdr:row>
          <xdr:rowOff>30480</xdr:rowOff>
        </xdr:from>
        <xdr:to>
          <xdr:col>1</xdr:col>
          <xdr:colOff>68580</xdr:colOff>
          <xdr:row>841</xdr:row>
          <xdr:rowOff>259080</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100-00009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842</xdr:row>
          <xdr:rowOff>182880</xdr:rowOff>
        </xdr:from>
        <xdr:to>
          <xdr:col>1</xdr:col>
          <xdr:colOff>68580</xdr:colOff>
          <xdr:row>844</xdr:row>
          <xdr:rowOff>22860</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100-00009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47625</xdr:colOff>
      <xdr:row>951</xdr:row>
      <xdr:rowOff>171450</xdr:rowOff>
    </xdr:from>
    <xdr:to>
      <xdr:col>5</xdr:col>
      <xdr:colOff>571500</xdr:colOff>
      <xdr:row>952</xdr:row>
      <xdr:rowOff>171450</xdr:rowOff>
    </xdr:to>
    <xdr:sp macro="" textlink="">
      <xdr:nvSpPr>
        <xdr:cNvPr id="19" name="Rectángulo 18">
          <a:extLst>
            <a:ext uri="{FF2B5EF4-FFF2-40B4-BE49-F238E27FC236}">
              <a16:creationId xmlns:a16="http://schemas.microsoft.com/office/drawing/2014/main" id="{00000000-0008-0000-0100-000013000000}"/>
            </a:ext>
          </a:extLst>
        </xdr:cNvPr>
        <xdr:cNvSpPr/>
      </xdr:nvSpPr>
      <xdr:spPr>
        <a:xfrm>
          <a:off x="1181100" y="14106525"/>
          <a:ext cx="3228975" cy="190500"/>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906</xdr:row>
          <xdr:rowOff>182880</xdr:rowOff>
        </xdr:from>
        <xdr:to>
          <xdr:col>1</xdr:col>
          <xdr:colOff>68580</xdr:colOff>
          <xdr:row>908</xdr:row>
          <xdr:rowOff>22860</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100-0000A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953</xdr:row>
          <xdr:rowOff>182880</xdr:rowOff>
        </xdr:from>
        <xdr:to>
          <xdr:col>1</xdr:col>
          <xdr:colOff>68580</xdr:colOff>
          <xdr:row>955</xdr:row>
          <xdr:rowOff>38100</xdr:rowOff>
        </xdr:to>
        <xdr:sp macro="" textlink="">
          <xdr:nvSpPr>
            <xdr:cNvPr id="4257" name="Check Box 161" hidden="1">
              <a:extLst>
                <a:ext uri="{63B3BB69-23CF-44E3-9099-C40C66FF867C}">
                  <a14:compatExt spid="_x0000_s4257"/>
                </a:ext>
                <a:ext uri="{FF2B5EF4-FFF2-40B4-BE49-F238E27FC236}">
                  <a16:creationId xmlns:a16="http://schemas.microsoft.com/office/drawing/2014/main" id="{00000000-0008-0000-0100-0000A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47625</xdr:colOff>
      <xdr:row>981</xdr:row>
      <xdr:rowOff>171450</xdr:rowOff>
    </xdr:from>
    <xdr:to>
      <xdr:col>5</xdr:col>
      <xdr:colOff>771525</xdr:colOff>
      <xdr:row>982</xdr:row>
      <xdr:rowOff>161925</xdr:rowOff>
    </xdr:to>
    <xdr:sp macro="" textlink="">
      <xdr:nvSpPr>
        <xdr:cNvPr id="20" name="Rectángulo 19">
          <a:extLst>
            <a:ext uri="{FF2B5EF4-FFF2-40B4-BE49-F238E27FC236}">
              <a16:creationId xmlns:a16="http://schemas.microsoft.com/office/drawing/2014/main" id="{00000000-0008-0000-0100-000014000000}"/>
            </a:ext>
          </a:extLst>
        </xdr:cNvPr>
        <xdr:cNvSpPr/>
      </xdr:nvSpPr>
      <xdr:spPr>
        <a:xfrm>
          <a:off x="1181100" y="17916525"/>
          <a:ext cx="3429000" cy="18097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983</xdr:row>
          <xdr:rowOff>182880</xdr:rowOff>
        </xdr:from>
        <xdr:to>
          <xdr:col>1</xdr:col>
          <xdr:colOff>68580</xdr:colOff>
          <xdr:row>985</xdr:row>
          <xdr:rowOff>22860</xdr:rowOff>
        </xdr:to>
        <xdr:sp macro="" textlink="">
          <xdr:nvSpPr>
            <xdr:cNvPr id="4258" name="Check Box 162" hidden="1">
              <a:extLst>
                <a:ext uri="{63B3BB69-23CF-44E3-9099-C40C66FF867C}">
                  <a14:compatExt spid="_x0000_s4258"/>
                </a:ext>
                <a:ext uri="{FF2B5EF4-FFF2-40B4-BE49-F238E27FC236}">
                  <a16:creationId xmlns:a16="http://schemas.microsoft.com/office/drawing/2014/main" id="{00000000-0008-0000-0100-0000A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19050</xdr:colOff>
      <xdr:row>997</xdr:row>
      <xdr:rowOff>0</xdr:rowOff>
    </xdr:from>
    <xdr:to>
      <xdr:col>1</xdr:col>
      <xdr:colOff>0</xdr:colOff>
      <xdr:row>998</xdr:row>
      <xdr:rowOff>0</xdr:rowOff>
    </xdr:to>
    <xdr:sp macro="" textlink="">
      <xdr:nvSpPr>
        <xdr:cNvPr id="21" name="Rectángulo 20">
          <a:extLst>
            <a:ext uri="{FF2B5EF4-FFF2-40B4-BE49-F238E27FC236}">
              <a16:creationId xmlns:a16="http://schemas.microsoft.com/office/drawing/2014/main" id="{00000000-0008-0000-0100-000015000000}"/>
            </a:ext>
          </a:extLst>
        </xdr:cNvPr>
        <xdr:cNvSpPr/>
      </xdr:nvSpPr>
      <xdr:spPr>
        <a:xfrm>
          <a:off x="19050" y="20983575"/>
          <a:ext cx="419100" cy="190500"/>
        </a:xfrm>
        <a:prstGeom prst="rect">
          <a:avLst/>
        </a:prstGeom>
        <a:solidFill>
          <a:schemeClr val="bg1"/>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19050</xdr:colOff>
      <xdr:row>996</xdr:row>
      <xdr:rowOff>180975</xdr:rowOff>
    </xdr:from>
    <xdr:to>
      <xdr:col>5</xdr:col>
      <xdr:colOff>790575</xdr:colOff>
      <xdr:row>997</xdr:row>
      <xdr:rowOff>180975</xdr:rowOff>
    </xdr:to>
    <xdr:sp macro="" textlink="">
      <xdr:nvSpPr>
        <xdr:cNvPr id="22" name="Rectángulo 21">
          <a:extLst>
            <a:ext uri="{FF2B5EF4-FFF2-40B4-BE49-F238E27FC236}">
              <a16:creationId xmlns:a16="http://schemas.microsoft.com/office/drawing/2014/main" id="{00000000-0008-0000-0100-000016000000}"/>
            </a:ext>
          </a:extLst>
        </xdr:cNvPr>
        <xdr:cNvSpPr/>
      </xdr:nvSpPr>
      <xdr:spPr>
        <a:xfrm>
          <a:off x="1152525" y="19069050"/>
          <a:ext cx="3476625" cy="190500"/>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114300</xdr:colOff>
          <xdr:row>381</xdr:row>
          <xdr:rowOff>30480</xdr:rowOff>
        </xdr:from>
        <xdr:to>
          <xdr:col>3</xdr:col>
          <xdr:colOff>335280</xdr:colOff>
          <xdr:row>382</xdr:row>
          <xdr:rowOff>30480</xdr:rowOff>
        </xdr:to>
        <xdr:sp macro="" textlink="">
          <xdr:nvSpPr>
            <xdr:cNvPr id="4262" name="Check Box 166" hidden="1">
              <a:extLst>
                <a:ext uri="{63B3BB69-23CF-44E3-9099-C40C66FF867C}">
                  <a14:compatExt spid="_x0000_s4262"/>
                </a:ext>
                <a:ext uri="{FF2B5EF4-FFF2-40B4-BE49-F238E27FC236}">
                  <a16:creationId xmlns:a16="http://schemas.microsoft.com/office/drawing/2014/main" id="{00000000-0008-0000-0100-0000A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Altura de montaje de hasta 8m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382</xdr:row>
          <xdr:rowOff>30480</xdr:rowOff>
        </xdr:from>
        <xdr:to>
          <xdr:col>3</xdr:col>
          <xdr:colOff>335280</xdr:colOff>
          <xdr:row>383</xdr:row>
          <xdr:rowOff>30480</xdr:rowOff>
        </xdr:to>
        <xdr:sp macro="" textlink="">
          <xdr:nvSpPr>
            <xdr:cNvPr id="4263" name="Check Box 167" hidden="1">
              <a:extLst>
                <a:ext uri="{63B3BB69-23CF-44E3-9099-C40C66FF867C}">
                  <a14:compatExt spid="_x0000_s4263"/>
                </a:ext>
                <a:ext uri="{FF2B5EF4-FFF2-40B4-BE49-F238E27FC236}">
                  <a16:creationId xmlns:a16="http://schemas.microsoft.com/office/drawing/2014/main" id="{00000000-0008-0000-0100-0000A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Altura de montaje entre 8m y 15m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383</xdr:row>
          <xdr:rowOff>30480</xdr:rowOff>
        </xdr:from>
        <xdr:to>
          <xdr:col>3</xdr:col>
          <xdr:colOff>335280</xdr:colOff>
          <xdr:row>384</xdr:row>
          <xdr:rowOff>30480</xdr:rowOff>
        </xdr:to>
        <xdr:sp macro="" textlink="">
          <xdr:nvSpPr>
            <xdr:cNvPr id="4264" name="Check Box 168" hidden="1">
              <a:extLst>
                <a:ext uri="{63B3BB69-23CF-44E3-9099-C40C66FF867C}">
                  <a14:compatExt spid="_x0000_s4264"/>
                </a:ext>
                <a:ext uri="{FF2B5EF4-FFF2-40B4-BE49-F238E27FC236}">
                  <a16:creationId xmlns:a16="http://schemas.microsoft.com/office/drawing/2014/main" id="{00000000-0008-0000-0100-0000A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Altura de montaje mayor de 15m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377</xdr:row>
          <xdr:rowOff>0</xdr:rowOff>
        </xdr:from>
        <xdr:to>
          <xdr:col>1</xdr:col>
          <xdr:colOff>678180</xdr:colOff>
          <xdr:row>378</xdr:row>
          <xdr:rowOff>30480</xdr:rowOff>
        </xdr:to>
        <xdr:sp macro="" textlink="">
          <xdr:nvSpPr>
            <xdr:cNvPr id="4267" name="Check Box 171" hidden="1">
              <a:extLst>
                <a:ext uri="{63B3BB69-23CF-44E3-9099-C40C66FF867C}">
                  <a14:compatExt spid="_x0000_s4267"/>
                </a:ext>
                <a:ext uri="{FF2B5EF4-FFF2-40B4-BE49-F238E27FC236}">
                  <a16:creationId xmlns:a16="http://schemas.microsoft.com/office/drawing/2014/main" id="{00000000-0008-0000-0100-0000A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387</xdr:row>
          <xdr:rowOff>0</xdr:rowOff>
        </xdr:from>
        <xdr:to>
          <xdr:col>1</xdr:col>
          <xdr:colOff>678180</xdr:colOff>
          <xdr:row>388</xdr:row>
          <xdr:rowOff>30480</xdr:rowOff>
        </xdr:to>
        <xdr:sp macro="" textlink="">
          <xdr:nvSpPr>
            <xdr:cNvPr id="4268" name="Check Box 172" hidden="1">
              <a:extLst>
                <a:ext uri="{63B3BB69-23CF-44E3-9099-C40C66FF867C}">
                  <a14:compatExt spid="_x0000_s4268"/>
                </a:ext>
                <a:ext uri="{FF2B5EF4-FFF2-40B4-BE49-F238E27FC236}">
                  <a16:creationId xmlns:a16="http://schemas.microsoft.com/office/drawing/2014/main" id="{00000000-0008-0000-0100-0000A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393</xdr:row>
          <xdr:rowOff>0</xdr:rowOff>
        </xdr:from>
        <xdr:to>
          <xdr:col>1</xdr:col>
          <xdr:colOff>678180</xdr:colOff>
          <xdr:row>394</xdr:row>
          <xdr:rowOff>30480</xdr:rowOff>
        </xdr:to>
        <xdr:sp macro="" textlink="">
          <xdr:nvSpPr>
            <xdr:cNvPr id="4269" name="Check Box 173" hidden="1">
              <a:extLst>
                <a:ext uri="{63B3BB69-23CF-44E3-9099-C40C66FF867C}">
                  <a14:compatExt spid="_x0000_s4269"/>
                </a:ext>
                <a:ext uri="{FF2B5EF4-FFF2-40B4-BE49-F238E27FC236}">
                  <a16:creationId xmlns:a16="http://schemas.microsoft.com/office/drawing/2014/main" id="{00000000-0008-0000-0100-0000A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410</xdr:row>
          <xdr:rowOff>0</xdr:rowOff>
        </xdr:from>
        <xdr:to>
          <xdr:col>1</xdr:col>
          <xdr:colOff>678180</xdr:colOff>
          <xdr:row>411</xdr:row>
          <xdr:rowOff>30480</xdr:rowOff>
        </xdr:to>
        <xdr:sp macro="" textlink="">
          <xdr:nvSpPr>
            <xdr:cNvPr id="4271" name="Check Box 175" hidden="1">
              <a:extLst>
                <a:ext uri="{63B3BB69-23CF-44E3-9099-C40C66FF867C}">
                  <a14:compatExt spid="_x0000_s4271"/>
                </a:ext>
                <a:ext uri="{FF2B5EF4-FFF2-40B4-BE49-F238E27FC236}">
                  <a16:creationId xmlns:a16="http://schemas.microsoft.com/office/drawing/2014/main" id="{00000000-0008-0000-0100-0000A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399</xdr:row>
          <xdr:rowOff>0</xdr:rowOff>
        </xdr:from>
        <xdr:to>
          <xdr:col>1</xdr:col>
          <xdr:colOff>678180</xdr:colOff>
          <xdr:row>400</xdr:row>
          <xdr:rowOff>30480</xdr:rowOff>
        </xdr:to>
        <xdr:sp macro="" textlink="">
          <xdr:nvSpPr>
            <xdr:cNvPr id="4270" name="Check Box 174" hidden="1">
              <a:extLst>
                <a:ext uri="{63B3BB69-23CF-44E3-9099-C40C66FF867C}">
                  <a14:compatExt spid="_x0000_s4270"/>
                </a:ext>
                <a:ext uri="{FF2B5EF4-FFF2-40B4-BE49-F238E27FC236}">
                  <a16:creationId xmlns:a16="http://schemas.microsoft.com/office/drawing/2014/main" id="{00000000-0008-0000-0100-0000A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428625</xdr:colOff>
      <xdr:row>408</xdr:row>
      <xdr:rowOff>28574</xdr:rowOff>
    </xdr:from>
    <xdr:to>
      <xdr:col>4</xdr:col>
      <xdr:colOff>457200</xdr:colOff>
      <xdr:row>409</xdr:row>
      <xdr:rowOff>0</xdr:rowOff>
    </xdr:to>
    <xdr:sp macro="" textlink="">
      <xdr:nvSpPr>
        <xdr:cNvPr id="4" name="Rectángulo 3">
          <a:extLst>
            <a:ext uri="{FF2B5EF4-FFF2-40B4-BE49-F238E27FC236}">
              <a16:creationId xmlns:a16="http://schemas.microsoft.com/office/drawing/2014/main" id="{00000000-0008-0000-0100-000004000000}"/>
            </a:ext>
          </a:extLst>
        </xdr:cNvPr>
        <xdr:cNvSpPr/>
      </xdr:nvSpPr>
      <xdr:spPr>
        <a:xfrm>
          <a:off x="428625" y="44881799"/>
          <a:ext cx="3257550" cy="180976"/>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1</xdr:col>
          <xdr:colOff>182880</xdr:colOff>
          <xdr:row>429</xdr:row>
          <xdr:rowOff>0</xdr:rowOff>
        </xdr:from>
        <xdr:to>
          <xdr:col>1</xdr:col>
          <xdr:colOff>678180</xdr:colOff>
          <xdr:row>430</xdr:row>
          <xdr:rowOff>30480</xdr:rowOff>
        </xdr:to>
        <xdr:sp macro="" textlink="">
          <xdr:nvSpPr>
            <xdr:cNvPr id="4272" name="Check Box 176" hidden="1">
              <a:extLst>
                <a:ext uri="{63B3BB69-23CF-44E3-9099-C40C66FF867C}">
                  <a14:compatExt spid="_x0000_s4272"/>
                </a:ext>
                <a:ext uri="{FF2B5EF4-FFF2-40B4-BE49-F238E27FC236}">
                  <a16:creationId xmlns:a16="http://schemas.microsoft.com/office/drawing/2014/main" id="{00000000-0008-0000-0100-0000B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435</xdr:row>
          <xdr:rowOff>0</xdr:rowOff>
        </xdr:from>
        <xdr:to>
          <xdr:col>1</xdr:col>
          <xdr:colOff>678180</xdr:colOff>
          <xdr:row>436</xdr:row>
          <xdr:rowOff>30480</xdr:rowOff>
        </xdr:to>
        <xdr:sp macro="" textlink="">
          <xdr:nvSpPr>
            <xdr:cNvPr id="4273" name="Check Box 177" hidden="1">
              <a:extLst>
                <a:ext uri="{63B3BB69-23CF-44E3-9099-C40C66FF867C}">
                  <a14:compatExt spid="_x0000_s4273"/>
                </a:ext>
                <a:ext uri="{FF2B5EF4-FFF2-40B4-BE49-F238E27FC236}">
                  <a16:creationId xmlns:a16="http://schemas.microsoft.com/office/drawing/2014/main" id="{00000000-0008-0000-0100-0000B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422</xdr:row>
          <xdr:rowOff>0</xdr:rowOff>
        </xdr:from>
        <xdr:to>
          <xdr:col>1</xdr:col>
          <xdr:colOff>678180</xdr:colOff>
          <xdr:row>423</xdr:row>
          <xdr:rowOff>30480</xdr:rowOff>
        </xdr:to>
        <xdr:sp macro="" textlink="">
          <xdr:nvSpPr>
            <xdr:cNvPr id="4274" name="Check Box 178" hidden="1">
              <a:extLst>
                <a:ext uri="{63B3BB69-23CF-44E3-9099-C40C66FF867C}">
                  <a14:compatExt spid="_x0000_s4274"/>
                </a:ext>
                <a:ext uri="{FF2B5EF4-FFF2-40B4-BE49-F238E27FC236}">
                  <a16:creationId xmlns:a16="http://schemas.microsoft.com/office/drawing/2014/main" id="{00000000-0008-0000-0100-0000B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38100</xdr:colOff>
      <xdr:row>445</xdr:row>
      <xdr:rowOff>9525</xdr:rowOff>
    </xdr:from>
    <xdr:to>
      <xdr:col>1</xdr:col>
      <xdr:colOff>628650</xdr:colOff>
      <xdr:row>445</xdr:row>
      <xdr:rowOff>200025</xdr:rowOff>
    </xdr:to>
    <xdr:sp macro="" textlink="">
      <xdr:nvSpPr>
        <xdr:cNvPr id="28" name="Rectángulo 27">
          <a:extLst>
            <a:ext uri="{FF2B5EF4-FFF2-40B4-BE49-F238E27FC236}">
              <a16:creationId xmlns:a16="http://schemas.microsoft.com/office/drawing/2014/main" id="{00000000-0008-0000-0100-00001C000000}"/>
            </a:ext>
          </a:extLst>
        </xdr:cNvPr>
        <xdr:cNvSpPr/>
      </xdr:nvSpPr>
      <xdr:spPr>
        <a:xfrm>
          <a:off x="476250" y="5372100"/>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190500</xdr:colOff>
          <xdr:row>30</xdr:row>
          <xdr:rowOff>152400</xdr:rowOff>
        </xdr:from>
        <xdr:to>
          <xdr:col>2</xdr:col>
          <xdr:colOff>640080</xdr:colOff>
          <xdr:row>31</xdr:row>
          <xdr:rowOff>182880</xdr:rowOff>
        </xdr:to>
        <xdr:sp macro="" textlink="">
          <xdr:nvSpPr>
            <xdr:cNvPr id="4275" name="Check Box 179" hidden="1">
              <a:extLst>
                <a:ext uri="{63B3BB69-23CF-44E3-9099-C40C66FF867C}">
                  <a14:compatExt spid="_x0000_s4275"/>
                </a:ext>
                <a:ext uri="{FF2B5EF4-FFF2-40B4-BE49-F238E27FC236}">
                  <a16:creationId xmlns:a16="http://schemas.microsoft.com/office/drawing/2014/main" id="{00000000-0008-0000-0100-0000B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31</xdr:row>
          <xdr:rowOff>144780</xdr:rowOff>
        </xdr:from>
        <xdr:to>
          <xdr:col>2</xdr:col>
          <xdr:colOff>640080</xdr:colOff>
          <xdr:row>32</xdr:row>
          <xdr:rowOff>152400</xdr:rowOff>
        </xdr:to>
        <xdr:sp macro="" textlink="">
          <xdr:nvSpPr>
            <xdr:cNvPr id="4276" name="Check Box 180" hidden="1">
              <a:extLst>
                <a:ext uri="{63B3BB69-23CF-44E3-9099-C40C66FF867C}">
                  <a14:compatExt spid="_x0000_s4276"/>
                </a:ext>
                <a:ext uri="{FF2B5EF4-FFF2-40B4-BE49-F238E27FC236}">
                  <a16:creationId xmlns:a16="http://schemas.microsoft.com/office/drawing/2014/main" id="{00000000-0008-0000-0100-0000B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26</xdr:row>
          <xdr:rowOff>182880</xdr:rowOff>
        </xdr:from>
        <xdr:to>
          <xdr:col>2</xdr:col>
          <xdr:colOff>640080</xdr:colOff>
          <xdr:row>28</xdr:row>
          <xdr:rowOff>0</xdr:rowOff>
        </xdr:to>
        <xdr:sp macro="" textlink="">
          <xdr:nvSpPr>
            <xdr:cNvPr id="4277" name="Check Box 181" hidden="1">
              <a:extLst>
                <a:ext uri="{63B3BB69-23CF-44E3-9099-C40C66FF867C}">
                  <a14:compatExt spid="_x0000_s4277"/>
                </a:ext>
                <a:ext uri="{FF2B5EF4-FFF2-40B4-BE49-F238E27FC236}">
                  <a16:creationId xmlns:a16="http://schemas.microsoft.com/office/drawing/2014/main" id="{00000000-0008-0000-0100-0000B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27</xdr:row>
          <xdr:rowOff>144780</xdr:rowOff>
        </xdr:from>
        <xdr:to>
          <xdr:col>2</xdr:col>
          <xdr:colOff>640080</xdr:colOff>
          <xdr:row>28</xdr:row>
          <xdr:rowOff>175260</xdr:rowOff>
        </xdr:to>
        <xdr:sp macro="" textlink="">
          <xdr:nvSpPr>
            <xdr:cNvPr id="4278" name="Check Box 182" hidden="1">
              <a:extLst>
                <a:ext uri="{63B3BB69-23CF-44E3-9099-C40C66FF867C}">
                  <a14:compatExt spid="_x0000_s4278"/>
                </a:ext>
                <a:ext uri="{FF2B5EF4-FFF2-40B4-BE49-F238E27FC236}">
                  <a16:creationId xmlns:a16="http://schemas.microsoft.com/office/drawing/2014/main" id="{00000000-0008-0000-0100-0000B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447</xdr:row>
          <xdr:rowOff>0</xdr:rowOff>
        </xdr:from>
        <xdr:to>
          <xdr:col>1</xdr:col>
          <xdr:colOff>640080</xdr:colOff>
          <xdr:row>448</xdr:row>
          <xdr:rowOff>30480</xdr:rowOff>
        </xdr:to>
        <xdr:sp macro="" textlink="">
          <xdr:nvSpPr>
            <xdr:cNvPr id="4279" name="Check Box 183" hidden="1">
              <a:extLst>
                <a:ext uri="{63B3BB69-23CF-44E3-9099-C40C66FF867C}">
                  <a14:compatExt spid="_x0000_s4279"/>
                </a:ext>
                <a:ext uri="{FF2B5EF4-FFF2-40B4-BE49-F238E27FC236}">
                  <a16:creationId xmlns:a16="http://schemas.microsoft.com/office/drawing/2014/main" id="{00000000-0008-0000-0100-0000B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453</xdr:row>
          <xdr:rowOff>0</xdr:rowOff>
        </xdr:from>
        <xdr:to>
          <xdr:col>1</xdr:col>
          <xdr:colOff>640080</xdr:colOff>
          <xdr:row>454</xdr:row>
          <xdr:rowOff>30480</xdr:rowOff>
        </xdr:to>
        <xdr:sp macro="" textlink="">
          <xdr:nvSpPr>
            <xdr:cNvPr id="4280" name="Check Box 184" hidden="1">
              <a:extLst>
                <a:ext uri="{63B3BB69-23CF-44E3-9099-C40C66FF867C}">
                  <a14:compatExt spid="_x0000_s4280"/>
                </a:ext>
                <a:ext uri="{FF2B5EF4-FFF2-40B4-BE49-F238E27FC236}">
                  <a16:creationId xmlns:a16="http://schemas.microsoft.com/office/drawing/2014/main" id="{00000000-0008-0000-0100-0000B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28575</xdr:colOff>
      <xdr:row>465</xdr:row>
      <xdr:rowOff>0</xdr:rowOff>
    </xdr:from>
    <xdr:to>
      <xdr:col>1</xdr:col>
      <xdr:colOff>619125</xdr:colOff>
      <xdr:row>465</xdr:row>
      <xdr:rowOff>190500</xdr:rowOff>
    </xdr:to>
    <xdr:sp macro="" textlink="">
      <xdr:nvSpPr>
        <xdr:cNvPr id="23" name="Rectángulo 22">
          <a:extLst>
            <a:ext uri="{FF2B5EF4-FFF2-40B4-BE49-F238E27FC236}">
              <a16:creationId xmlns:a16="http://schemas.microsoft.com/office/drawing/2014/main" id="{00000000-0008-0000-0100-000017000000}"/>
            </a:ext>
          </a:extLst>
        </xdr:cNvPr>
        <xdr:cNvSpPr/>
      </xdr:nvSpPr>
      <xdr:spPr>
        <a:xfrm>
          <a:off x="466725" y="9553575"/>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0</xdr:colOff>
      <xdr:row>39</xdr:row>
      <xdr:rowOff>190499</xdr:rowOff>
    </xdr:from>
    <xdr:to>
      <xdr:col>2</xdr:col>
      <xdr:colOff>1466850</xdr:colOff>
      <xdr:row>41</xdr:row>
      <xdr:rowOff>9524</xdr:rowOff>
    </xdr:to>
    <xdr:sp macro="" textlink="">
      <xdr:nvSpPr>
        <xdr:cNvPr id="24" name="Rectángulo 23">
          <a:extLst>
            <a:ext uri="{FF2B5EF4-FFF2-40B4-BE49-F238E27FC236}">
              <a16:creationId xmlns:a16="http://schemas.microsoft.com/office/drawing/2014/main" id="{00000000-0008-0000-0100-000018000000}"/>
            </a:ext>
          </a:extLst>
        </xdr:cNvPr>
        <xdr:cNvSpPr/>
      </xdr:nvSpPr>
      <xdr:spPr>
        <a:xfrm>
          <a:off x="1181100" y="4410074"/>
          <a:ext cx="1466850" cy="200025"/>
        </a:xfrm>
        <a:prstGeom prst="rect">
          <a:avLst/>
        </a:prstGeom>
        <a:solidFill>
          <a:schemeClr val="accent4">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47625</xdr:colOff>
      <xdr:row>420</xdr:row>
      <xdr:rowOff>19050</xdr:rowOff>
    </xdr:from>
    <xdr:to>
      <xdr:col>1</xdr:col>
      <xdr:colOff>638175</xdr:colOff>
      <xdr:row>421</xdr:row>
      <xdr:rowOff>0</xdr:rowOff>
    </xdr:to>
    <xdr:sp macro="" textlink="">
      <xdr:nvSpPr>
        <xdr:cNvPr id="25" name="Rectángulo 24">
          <a:extLst>
            <a:ext uri="{FF2B5EF4-FFF2-40B4-BE49-F238E27FC236}">
              <a16:creationId xmlns:a16="http://schemas.microsoft.com/office/drawing/2014/main" id="{00000000-0008-0000-0100-000019000000}"/>
            </a:ext>
          </a:extLst>
        </xdr:cNvPr>
        <xdr:cNvSpPr/>
      </xdr:nvSpPr>
      <xdr:spPr>
        <a:xfrm>
          <a:off x="485775" y="4962525"/>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1</xdr:col>
          <xdr:colOff>144780</xdr:colOff>
          <xdr:row>467</xdr:row>
          <xdr:rowOff>0</xdr:rowOff>
        </xdr:from>
        <xdr:to>
          <xdr:col>1</xdr:col>
          <xdr:colOff>640080</xdr:colOff>
          <xdr:row>468</xdr:row>
          <xdr:rowOff>30480</xdr:rowOff>
        </xdr:to>
        <xdr:sp macro="" textlink="">
          <xdr:nvSpPr>
            <xdr:cNvPr id="4281" name="Check Box 185" hidden="1">
              <a:extLst>
                <a:ext uri="{63B3BB69-23CF-44E3-9099-C40C66FF867C}">
                  <a14:compatExt spid="_x0000_s4281"/>
                </a:ext>
                <a:ext uri="{FF2B5EF4-FFF2-40B4-BE49-F238E27FC236}">
                  <a16:creationId xmlns:a16="http://schemas.microsoft.com/office/drawing/2014/main" id="{00000000-0008-0000-0100-0000B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480</xdr:row>
          <xdr:rowOff>0</xdr:rowOff>
        </xdr:from>
        <xdr:to>
          <xdr:col>1</xdr:col>
          <xdr:colOff>640080</xdr:colOff>
          <xdr:row>481</xdr:row>
          <xdr:rowOff>30480</xdr:rowOff>
        </xdr:to>
        <xdr:sp macro="" textlink="">
          <xdr:nvSpPr>
            <xdr:cNvPr id="4282" name="Check Box 186" hidden="1">
              <a:extLst>
                <a:ext uri="{63B3BB69-23CF-44E3-9099-C40C66FF867C}">
                  <a14:compatExt spid="_x0000_s4282"/>
                </a:ext>
                <a:ext uri="{FF2B5EF4-FFF2-40B4-BE49-F238E27FC236}">
                  <a16:creationId xmlns:a16="http://schemas.microsoft.com/office/drawing/2014/main" id="{00000000-0008-0000-0100-0000B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486</xdr:row>
          <xdr:rowOff>0</xdr:rowOff>
        </xdr:from>
        <xdr:to>
          <xdr:col>1</xdr:col>
          <xdr:colOff>640080</xdr:colOff>
          <xdr:row>487</xdr:row>
          <xdr:rowOff>30480</xdr:rowOff>
        </xdr:to>
        <xdr:sp macro="" textlink="">
          <xdr:nvSpPr>
            <xdr:cNvPr id="4283" name="Check Box 187" hidden="1">
              <a:extLst>
                <a:ext uri="{63B3BB69-23CF-44E3-9099-C40C66FF867C}">
                  <a14:compatExt spid="_x0000_s4283"/>
                </a:ext>
                <a:ext uri="{FF2B5EF4-FFF2-40B4-BE49-F238E27FC236}">
                  <a16:creationId xmlns:a16="http://schemas.microsoft.com/office/drawing/2014/main" id="{00000000-0008-0000-0100-0000B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57150</xdr:colOff>
      <xdr:row>478</xdr:row>
      <xdr:rowOff>9525</xdr:rowOff>
    </xdr:from>
    <xdr:to>
      <xdr:col>1</xdr:col>
      <xdr:colOff>647700</xdr:colOff>
      <xdr:row>478</xdr:row>
      <xdr:rowOff>200025</xdr:rowOff>
    </xdr:to>
    <xdr:sp macro="" textlink="">
      <xdr:nvSpPr>
        <xdr:cNvPr id="2" name="Rectángulo 1">
          <a:extLst>
            <a:ext uri="{FF2B5EF4-FFF2-40B4-BE49-F238E27FC236}">
              <a16:creationId xmlns:a16="http://schemas.microsoft.com/office/drawing/2014/main" id="{00000000-0008-0000-0100-000002000000}"/>
            </a:ext>
          </a:extLst>
        </xdr:cNvPr>
        <xdr:cNvSpPr/>
      </xdr:nvSpPr>
      <xdr:spPr>
        <a:xfrm>
          <a:off x="495300" y="6210300"/>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66675</xdr:colOff>
      <xdr:row>501</xdr:row>
      <xdr:rowOff>9525</xdr:rowOff>
    </xdr:from>
    <xdr:to>
      <xdr:col>1</xdr:col>
      <xdr:colOff>657225</xdr:colOff>
      <xdr:row>501</xdr:row>
      <xdr:rowOff>200025</xdr:rowOff>
    </xdr:to>
    <xdr:sp macro="" textlink="">
      <xdr:nvSpPr>
        <xdr:cNvPr id="26" name="Rectángulo 25">
          <a:extLst>
            <a:ext uri="{FF2B5EF4-FFF2-40B4-BE49-F238E27FC236}">
              <a16:creationId xmlns:a16="http://schemas.microsoft.com/office/drawing/2014/main" id="{00000000-0008-0000-0100-00001A000000}"/>
            </a:ext>
          </a:extLst>
        </xdr:cNvPr>
        <xdr:cNvSpPr/>
      </xdr:nvSpPr>
      <xdr:spPr>
        <a:xfrm>
          <a:off x="504825" y="17106900"/>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68580</xdr:colOff>
          <xdr:row>504</xdr:row>
          <xdr:rowOff>220980</xdr:rowOff>
        </xdr:from>
        <xdr:to>
          <xdr:col>3</xdr:col>
          <xdr:colOff>68580</xdr:colOff>
          <xdr:row>506</xdr:row>
          <xdr:rowOff>30480</xdr:rowOff>
        </xdr:to>
        <xdr:sp macro="" textlink="">
          <xdr:nvSpPr>
            <xdr:cNvPr id="4286" name="Check Box 190" hidden="1">
              <a:extLst>
                <a:ext uri="{63B3BB69-23CF-44E3-9099-C40C66FF867C}">
                  <a14:compatExt spid="_x0000_s4286"/>
                </a:ext>
                <a:ext uri="{FF2B5EF4-FFF2-40B4-BE49-F238E27FC236}">
                  <a16:creationId xmlns:a16="http://schemas.microsoft.com/office/drawing/2014/main" id="{00000000-0008-0000-0100-0000B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El ensayo se subcnontrata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503</xdr:row>
          <xdr:rowOff>0</xdr:rowOff>
        </xdr:from>
        <xdr:to>
          <xdr:col>1</xdr:col>
          <xdr:colOff>640080</xdr:colOff>
          <xdr:row>504</xdr:row>
          <xdr:rowOff>30480</xdr:rowOff>
        </xdr:to>
        <xdr:sp macro="" textlink="">
          <xdr:nvSpPr>
            <xdr:cNvPr id="4287" name="Check Box 191" hidden="1">
              <a:extLst>
                <a:ext uri="{63B3BB69-23CF-44E3-9099-C40C66FF867C}">
                  <a14:compatExt spid="_x0000_s4287"/>
                </a:ext>
                <a:ext uri="{FF2B5EF4-FFF2-40B4-BE49-F238E27FC236}">
                  <a16:creationId xmlns:a16="http://schemas.microsoft.com/office/drawing/2014/main" id="{00000000-0008-0000-0100-0000B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520</xdr:row>
          <xdr:rowOff>0</xdr:rowOff>
        </xdr:from>
        <xdr:to>
          <xdr:col>1</xdr:col>
          <xdr:colOff>640080</xdr:colOff>
          <xdr:row>521</xdr:row>
          <xdr:rowOff>30480</xdr:rowOff>
        </xdr:to>
        <xdr:sp macro="" textlink="">
          <xdr:nvSpPr>
            <xdr:cNvPr id="4288" name="Check Box 192" hidden="1">
              <a:extLst>
                <a:ext uri="{63B3BB69-23CF-44E3-9099-C40C66FF867C}">
                  <a14:compatExt spid="_x0000_s4288"/>
                </a:ext>
                <a:ext uri="{FF2B5EF4-FFF2-40B4-BE49-F238E27FC236}">
                  <a16:creationId xmlns:a16="http://schemas.microsoft.com/office/drawing/2014/main" id="{00000000-0008-0000-0100-0000C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19050</xdr:colOff>
      <xdr:row>533</xdr:row>
      <xdr:rowOff>28575</xdr:rowOff>
    </xdr:from>
    <xdr:to>
      <xdr:col>5</xdr:col>
      <xdr:colOff>942975</xdr:colOff>
      <xdr:row>534</xdr:row>
      <xdr:rowOff>0</xdr:rowOff>
    </xdr:to>
    <xdr:sp macro="" textlink="">
      <xdr:nvSpPr>
        <xdr:cNvPr id="30" name="Rectángulo 29">
          <a:extLst>
            <a:ext uri="{FF2B5EF4-FFF2-40B4-BE49-F238E27FC236}">
              <a16:creationId xmlns:a16="http://schemas.microsoft.com/office/drawing/2014/main" id="{00000000-0008-0000-0100-00001E000000}"/>
            </a:ext>
          </a:extLst>
        </xdr:cNvPr>
        <xdr:cNvSpPr/>
      </xdr:nvSpPr>
      <xdr:spPr>
        <a:xfrm>
          <a:off x="457200" y="42424350"/>
          <a:ext cx="4371975" cy="18097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38100</xdr:colOff>
      <xdr:row>535</xdr:row>
      <xdr:rowOff>9526</xdr:rowOff>
    </xdr:from>
    <xdr:to>
      <xdr:col>3</xdr:col>
      <xdr:colOff>552450</xdr:colOff>
      <xdr:row>535</xdr:row>
      <xdr:rowOff>200026</xdr:rowOff>
    </xdr:to>
    <xdr:sp macro="" textlink="">
      <xdr:nvSpPr>
        <xdr:cNvPr id="27" name="Rectángulo 26">
          <a:extLst>
            <a:ext uri="{FF2B5EF4-FFF2-40B4-BE49-F238E27FC236}">
              <a16:creationId xmlns:a16="http://schemas.microsoft.com/office/drawing/2014/main" id="{00000000-0008-0000-0100-00001B000000}"/>
            </a:ext>
          </a:extLst>
        </xdr:cNvPr>
        <xdr:cNvSpPr/>
      </xdr:nvSpPr>
      <xdr:spPr>
        <a:xfrm>
          <a:off x="476250" y="3276601"/>
          <a:ext cx="274320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999</xdr:row>
          <xdr:rowOff>30480</xdr:rowOff>
        </xdr:from>
        <xdr:to>
          <xdr:col>1</xdr:col>
          <xdr:colOff>68580</xdr:colOff>
          <xdr:row>999</xdr:row>
          <xdr:rowOff>259080</xdr:rowOff>
        </xdr:to>
        <xdr:sp macro="" textlink="">
          <xdr:nvSpPr>
            <xdr:cNvPr id="4289" name="Check Box 193" hidden="1">
              <a:extLst>
                <a:ext uri="{63B3BB69-23CF-44E3-9099-C40C66FF867C}">
                  <a14:compatExt spid="_x0000_s4289"/>
                </a:ext>
                <a:ext uri="{FF2B5EF4-FFF2-40B4-BE49-F238E27FC236}">
                  <a16:creationId xmlns:a16="http://schemas.microsoft.com/office/drawing/2014/main" id="{00000000-0008-0000-0100-0000C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1000</xdr:row>
          <xdr:rowOff>182880</xdr:rowOff>
        </xdr:from>
        <xdr:to>
          <xdr:col>1</xdr:col>
          <xdr:colOff>68580</xdr:colOff>
          <xdr:row>1002</xdr:row>
          <xdr:rowOff>30480</xdr:rowOff>
        </xdr:to>
        <xdr:sp macro="" textlink="">
          <xdr:nvSpPr>
            <xdr:cNvPr id="4290" name="Check Box 194" hidden="1">
              <a:extLst>
                <a:ext uri="{63B3BB69-23CF-44E3-9099-C40C66FF867C}">
                  <a14:compatExt spid="_x0000_s4290"/>
                </a:ext>
                <a:ext uri="{FF2B5EF4-FFF2-40B4-BE49-F238E27FC236}">
                  <a16:creationId xmlns:a16="http://schemas.microsoft.com/office/drawing/2014/main" id="{00000000-0008-0000-0100-0000C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1021</xdr:row>
          <xdr:rowOff>182880</xdr:rowOff>
        </xdr:from>
        <xdr:to>
          <xdr:col>1</xdr:col>
          <xdr:colOff>68580</xdr:colOff>
          <xdr:row>1023</xdr:row>
          <xdr:rowOff>38100</xdr:rowOff>
        </xdr:to>
        <xdr:sp macro="" textlink="">
          <xdr:nvSpPr>
            <xdr:cNvPr id="4291" name="Check Box 195" hidden="1">
              <a:extLst>
                <a:ext uri="{63B3BB69-23CF-44E3-9099-C40C66FF867C}">
                  <a14:compatExt spid="_x0000_s4291"/>
                </a:ext>
                <a:ext uri="{FF2B5EF4-FFF2-40B4-BE49-F238E27FC236}">
                  <a16:creationId xmlns:a16="http://schemas.microsoft.com/office/drawing/2014/main" id="{00000000-0008-0000-0100-0000C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1029</xdr:row>
          <xdr:rowOff>152400</xdr:rowOff>
        </xdr:from>
        <xdr:to>
          <xdr:col>1</xdr:col>
          <xdr:colOff>68580</xdr:colOff>
          <xdr:row>1031</xdr:row>
          <xdr:rowOff>30480</xdr:rowOff>
        </xdr:to>
        <xdr:sp macro="" textlink="">
          <xdr:nvSpPr>
            <xdr:cNvPr id="4292" name="Check Box 196" hidden="1">
              <a:extLst>
                <a:ext uri="{63B3BB69-23CF-44E3-9099-C40C66FF867C}">
                  <a14:compatExt spid="_x0000_s4292"/>
                </a:ext>
                <a:ext uri="{FF2B5EF4-FFF2-40B4-BE49-F238E27FC236}">
                  <a16:creationId xmlns:a16="http://schemas.microsoft.com/office/drawing/2014/main" id="{00000000-0008-0000-0100-0000C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1036</xdr:row>
          <xdr:rowOff>182880</xdr:rowOff>
        </xdr:from>
        <xdr:to>
          <xdr:col>1</xdr:col>
          <xdr:colOff>68580</xdr:colOff>
          <xdr:row>1038</xdr:row>
          <xdr:rowOff>22860</xdr:rowOff>
        </xdr:to>
        <xdr:sp macro="" textlink="">
          <xdr:nvSpPr>
            <xdr:cNvPr id="4293" name="Check Box 197" hidden="1">
              <a:extLst>
                <a:ext uri="{63B3BB69-23CF-44E3-9099-C40C66FF867C}">
                  <a14:compatExt spid="_x0000_s4293"/>
                </a:ext>
                <a:ext uri="{FF2B5EF4-FFF2-40B4-BE49-F238E27FC236}">
                  <a16:creationId xmlns:a16="http://schemas.microsoft.com/office/drawing/2014/main" id="{00000000-0008-0000-0100-0000C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9525</xdr:colOff>
      <xdr:row>1051</xdr:row>
      <xdr:rowOff>9525</xdr:rowOff>
    </xdr:from>
    <xdr:to>
      <xdr:col>0</xdr:col>
      <xdr:colOff>428625</xdr:colOff>
      <xdr:row>1052</xdr:row>
      <xdr:rowOff>0</xdr:rowOff>
    </xdr:to>
    <xdr:sp macro="" textlink="">
      <xdr:nvSpPr>
        <xdr:cNvPr id="29" name="Rectángulo 28">
          <a:extLst>
            <a:ext uri="{FF2B5EF4-FFF2-40B4-BE49-F238E27FC236}">
              <a16:creationId xmlns:a16="http://schemas.microsoft.com/office/drawing/2014/main" id="{00000000-0008-0000-0100-00001D000000}"/>
            </a:ext>
          </a:extLst>
        </xdr:cNvPr>
        <xdr:cNvSpPr/>
      </xdr:nvSpPr>
      <xdr:spPr>
        <a:xfrm>
          <a:off x="9525" y="18859500"/>
          <a:ext cx="419100" cy="180975"/>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1050</xdr:row>
      <xdr:rowOff>0</xdr:rowOff>
    </xdr:from>
    <xdr:to>
      <xdr:col>0</xdr:col>
      <xdr:colOff>419100</xdr:colOff>
      <xdr:row>1050</xdr:row>
      <xdr:rowOff>180975</xdr:rowOff>
    </xdr:to>
    <xdr:sp macro="" textlink="">
      <xdr:nvSpPr>
        <xdr:cNvPr id="31" name="Rectángulo 30">
          <a:extLst>
            <a:ext uri="{FF2B5EF4-FFF2-40B4-BE49-F238E27FC236}">
              <a16:creationId xmlns:a16="http://schemas.microsoft.com/office/drawing/2014/main" id="{00000000-0008-0000-0100-00001F000000}"/>
            </a:ext>
          </a:extLst>
        </xdr:cNvPr>
        <xdr:cNvSpPr/>
      </xdr:nvSpPr>
      <xdr:spPr>
        <a:xfrm>
          <a:off x="0" y="18659475"/>
          <a:ext cx="419100" cy="180975"/>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1053</xdr:row>
          <xdr:rowOff>30480</xdr:rowOff>
        </xdr:from>
        <xdr:to>
          <xdr:col>1</xdr:col>
          <xdr:colOff>68580</xdr:colOff>
          <xdr:row>1053</xdr:row>
          <xdr:rowOff>259080</xdr:rowOff>
        </xdr:to>
        <xdr:sp macro="" textlink="">
          <xdr:nvSpPr>
            <xdr:cNvPr id="4295" name="Check Box 199" hidden="1">
              <a:extLst>
                <a:ext uri="{63B3BB69-23CF-44E3-9099-C40C66FF867C}">
                  <a14:compatExt spid="_x0000_s4295"/>
                </a:ext>
                <a:ext uri="{FF2B5EF4-FFF2-40B4-BE49-F238E27FC236}">
                  <a16:creationId xmlns:a16="http://schemas.microsoft.com/office/drawing/2014/main" id="{00000000-0008-0000-0100-0000C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269</xdr:row>
          <xdr:rowOff>30480</xdr:rowOff>
        </xdr:from>
        <xdr:to>
          <xdr:col>3</xdr:col>
          <xdr:colOff>373380</xdr:colOff>
          <xdr:row>270</xdr:row>
          <xdr:rowOff>60960</xdr:rowOff>
        </xdr:to>
        <xdr:sp macro="" textlink="">
          <xdr:nvSpPr>
            <xdr:cNvPr id="4296" name="Check Box 200" hidden="1">
              <a:extLst>
                <a:ext uri="{63B3BB69-23CF-44E3-9099-C40C66FF867C}">
                  <a14:compatExt spid="_x0000_s4296"/>
                </a:ext>
                <a:ext uri="{FF2B5EF4-FFF2-40B4-BE49-F238E27FC236}">
                  <a16:creationId xmlns:a16="http://schemas.microsoft.com/office/drawing/2014/main" id="{00000000-0008-0000-0100-0000C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(EQ-SAFE-305)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270</xdr:row>
          <xdr:rowOff>30480</xdr:rowOff>
        </xdr:from>
        <xdr:to>
          <xdr:col>3</xdr:col>
          <xdr:colOff>373380</xdr:colOff>
          <xdr:row>271</xdr:row>
          <xdr:rowOff>30480</xdr:rowOff>
        </xdr:to>
        <xdr:sp macro="" textlink="">
          <xdr:nvSpPr>
            <xdr:cNvPr id="4297" name="Check Box 201" hidden="1">
              <a:extLst>
                <a:ext uri="{63B3BB69-23CF-44E3-9099-C40C66FF867C}">
                  <a14:compatExt spid="_x0000_s4297"/>
                </a:ext>
                <a:ext uri="{FF2B5EF4-FFF2-40B4-BE49-F238E27FC236}">
                  <a16:creationId xmlns:a16="http://schemas.microsoft.com/office/drawing/2014/main" id="{00000000-0008-0000-0100-0000C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climática (EQ-SAFE-330)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271</xdr:row>
          <xdr:rowOff>30480</xdr:rowOff>
        </xdr:from>
        <xdr:to>
          <xdr:col>3</xdr:col>
          <xdr:colOff>373380</xdr:colOff>
          <xdr:row>272</xdr:row>
          <xdr:rowOff>30480</xdr:rowOff>
        </xdr:to>
        <xdr:sp macro="" textlink="">
          <xdr:nvSpPr>
            <xdr:cNvPr id="4298" name="Check Box 202" hidden="1">
              <a:extLst>
                <a:ext uri="{63B3BB69-23CF-44E3-9099-C40C66FF867C}">
                  <a14:compatExt spid="_x0000_s4298"/>
                </a:ext>
                <a:ext uri="{FF2B5EF4-FFF2-40B4-BE49-F238E27FC236}">
                  <a16:creationId xmlns:a16="http://schemas.microsoft.com/office/drawing/2014/main" id="{00000000-0008-0000-0100-0000C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Otro (indicar en comentarios)</a:t>
              </a:r>
            </a:p>
          </xdr:txBody>
        </xdr:sp>
        <xdr:clientData/>
      </xdr:twoCellAnchor>
    </mc:Choice>
    <mc:Fallback/>
  </mc:AlternateContent>
  <xdr:twoCellAnchor>
    <xdr:from>
      <xdr:col>1</xdr:col>
      <xdr:colOff>695324</xdr:colOff>
      <xdr:row>368</xdr:row>
      <xdr:rowOff>9525</xdr:rowOff>
    </xdr:from>
    <xdr:to>
      <xdr:col>5</xdr:col>
      <xdr:colOff>733424</xdr:colOff>
      <xdr:row>369</xdr:row>
      <xdr:rowOff>0</xdr:rowOff>
    </xdr:to>
    <xdr:sp macro="" textlink="">
      <xdr:nvSpPr>
        <xdr:cNvPr id="9" name="Rectángulo 8">
          <a:extLst>
            <a:ext uri="{FF2B5EF4-FFF2-40B4-BE49-F238E27FC236}">
              <a16:creationId xmlns:a16="http://schemas.microsoft.com/office/drawing/2014/main" id="{00000000-0008-0000-0100-000009000000}"/>
            </a:ext>
          </a:extLst>
        </xdr:cNvPr>
        <xdr:cNvSpPr/>
      </xdr:nvSpPr>
      <xdr:spPr>
        <a:xfrm>
          <a:off x="1133474" y="42233850"/>
          <a:ext cx="3438525" cy="200025"/>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220980</xdr:colOff>
          <xdr:row>644</xdr:row>
          <xdr:rowOff>182880</xdr:rowOff>
        </xdr:from>
        <xdr:to>
          <xdr:col>5</xdr:col>
          <xdr:colOff>259080</xdr:colOff>
          <xdr:row>646</xdr:row>
          <xdr:rowOff>0</xdr:rowOff>
        </xdr:to>
        <xdr:sp macro="" textlink="">
          <xdr:nvSpPr>
            <xdr:cNvPr id="4299" name="Check Box 203" hidden="1">
              <a:extLst>
                <a:ext uri="{63B3BB69-23CF-44E3-9099-C40C66FF867C}">
                  <a14:compatExt spid="_x0000_s4299"/>
                </a:ext>
                <a:ext uri="{FF2B5EF4-FFF2-40B4-BE49-F238E27FC236}">
                  <a16:creationId xmlns:a16="http://schemas.microsoft.com/office/drawing/2014/main" id="{00000000-0008-0000-0100-0000C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ENDURANCIAS DYCOMETAL (EQ-SAFE-328)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648</xdr:row>
          <xdr:rowOff>182880</xdr:rowOff>
        </xdr:from>
        <xdr:to>
          <xdr:col>4</xdr:col>
          <xdr:colOff>190500</xdr:colOff>
          <xdr:row>650</xdr:row>
          <xdr:rowOff>22860</xdr:rowOff>
        </xdr:to>
        <xdr:sp macro="" textlink="">
          <xdr:nvSpPr>
            <xdr:cNvPr id="4302" name="Check Box 206" hidden="1">
              <a:extLst>
                <a:ext uri="{63B3BB69-23CF-44E3-9099-C40C66FF867C}">
                  <a14:compatExt spid="_x0000_s4302"/>
                </a:ext>
                <a:ext uri="{FF2B5EF4-FFF2-40B4-BE49-F238E27FC236}">
                  <a16:creationId xmlns:a16="http://schemas.microsoft.com/office/drawing/2014/main" id="{00000000-0008-0000-0100-0000C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EQ-SAFE-327 (Fijo en Cámara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773</xdr:row>
          <xdr:rowOff>7620</xdr:rowOff>
        </xdr:from>
        <xdr:to>
          <xdr:col>3</xdr:col>
          <xdr:colOff>563880</xdr:colOff>
          <xdr:row>774</xdr:row>
          <xdr:rowOff>45720</xdr:rowOff>
        </xdr:to>
        <xdr:sp macro="" textlink="">
          <xdr:nvSpPr>
            <xdr:cNvPr id="4303" name="Check Box 207" hidden="1">
              <a:extLst>
                <a:ext uri="{63B3BB69-23CF-44E3-9099-C40C66FF867C}">
                  <a14:compatExt spid="_x0000_s4303"/>
                </a:ext>
                <a:ext uri="{FF2B5EF4-FFF2-40B4-BE49-F238E27FC236}">
                  <a16:creationId xmlns:a16="http://schemas.microsoft.com/office/drawing/2014/main" id="{00000000-0008-0000-0100-0000C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(GW INSTEK GPT-15004)</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748393</xdr:colOff>
      <xdr:row>20</xdr:row>
      <xdr:rowOff>0</xdr:rowOff>
    </xdr:from>
    <xdr:to>
      <xdr:col>3</xdr:col>
      <xdr:colOff>2517321</xdr:colOff>
      <xdr:row>34</xdr:row>
      <xdr:rowOff>544285</xdr:rowOff>
    </xdr:to>
    <xdr:cxnSp macro="">
      <xdr:nvCxnSpPr>
        <xdr:cNvPr id="3" name="Conector recto 2">
          <a:extLst>
            <a:ext uri="{FF2B5EF4-FFF2-40B4-BE49-F238E27FC236}">
              <a16:creationId xmlns:a16="http://schemas.microsoft.com/office/drawing/2014/main" id="{00000000-0008-0000-0200-000003000000}"/>
            </a:ext>
          </a:extLst>
        </xdr:cNvPr>
        <xdr:cNvCxnSpPr/>
      </xdr:nvCxnSpPr>
      <xdr:spPr>
        <a:xfrm>
          <a:off x="748393"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37</xdr:row>
      <xdr:rowOff>0</xdr:rowOff>
    </xdr:from>
    <xdr:to>
      <xdr:col>3</xdr:col>
      <xdr:colOff>2530928</xdr:colOff>
      <xdr:row>51</xdr:row>
      <xdr:rowOff>544285</xdr:rowOff>
    </xdr:to>
    <xdr:cxnSp macro="">
      <xdr:nvCxnSpPr>
        <xdr:cNvPr id="4" name="Conector recto 3">
          <a:extLst>
            <a:ext uri="{FF2B5EF4-FFF2-40B4-BE49-F238E27FC236}">
              <a16:creationId xmlns:a16="http://schemas.microsoft.com/office/drawing/2014/main" id="{00000000-0008-0000-0200-000004000000}"/>
            </a:ext>
          </a:extLst>
        </xdr:cNvPr>
        <xdr:cNvCxnSpPr/>
      </xdr:nvCxnSpPr>
      <xdr:spPr>
        <a:xfrm>
          <a:off x="76200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3</xdr:col>
      <xdr:colOff>2530928</xdr:colOff>
      <xdr:row>68</xdr:row>
      <xdr:rowOff>544285</xdr:rowOff>
    </xdr:to>
    <xdr:cxnSp macro="">
      <xdr:nvCxnSpPr>
        <xdr:cNvPr id="5" name="Conector recto 4">
          <a:extLst>
            <a:ext uri="{FF2B5EF4-FFF2-40B4-BE49-F238E27FC236}">
              <a16:creationId xmlns:a16="http://schemas.microsoft.com/office/drawing/2014/main" id="{00000000-0008-0000-0200-000005000000}"/>
            </a:ext>
          </a:extLst>
        </xdr:cNvPr>
        <xdr:cNvCxnSpPr/>
      </xdr:nvCxnSpPr>
      <xdr:spPr>
        <a:xfrm>
          <a:off x="76200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71</xdr:row>
      <xdr:rowOff>0</xdr:rowOff>
    </xdr:from>
    <xdr:to>
      <xdr:col>3</xdr:col>
      <xdr:colOff>2530928</xdr:colOff>
      <xdr:row>85</xdr:row>
      <xdr:rowOff>544285</xdr:rowOff>
    </xdr:to>
    <xdr:cxnSp macro="">
      <xdr:nvCxnSpPr>
        <xdr:cNvPr id="6" name="Conector recto 5">
          <a:extLst>
            <a:ext uri="{FF2B5EF4-FFF2-40B4-BE49-F238E27FC236}">
              <a16:creationId xmlns:a16="http://schemas.microsoft.com/office/drawing/2014/main" id="{00000000-0008-0000-0200-000006000000}"/>
            </a:ext>
          </a:extLst>
        </xdr:cNvPr>
        <xdr:cNvCxnSpPr/>
      </xdr:nvCxnSpPr>
      <xdr:spPr>
        <a:xfrm>
          <a:off x="76200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88</xdr:row>
      <xdr:rowOff>0</xdr:rowOff>
    </xdr:from>
    <xdr:to>
      <xdr:col>3</xdr:col>
      <xdr:colOff>2530928</xdr:colOff>
      <xdr:row>102</xdr:row>
      <xdr:rowOff>544285</xdr:rowOff>
    </xdr:to>
    <xdr:cxnSp macro="">
      <xdr:nvCxnSpPr>
        <xdr:cNvPr id="7" name="Conector recto 6">
          <a:extLst>
            <a:ext uri="{FF2B5EF4-FFF2-40B4-BE49-F238E27FC236}">
              <a16:creationId xmlns:a16="http://schemas.microsoft.com/office/drawing/2014/main" id="{00000000-0008-0000-0200-000007000000}"/>
            </a:ext>
          </a:extLst>
        </xdr:cNvPr>
        <xdr:cNvCxnSpPr/>
      </xdr:nvCxnSpPr>
      <xdr:spPr>
        <a:xfrm>
          <a:off x="76200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105</xdr:row>
      <xdr:rowOff>0</xdr:rowOff>
    </xdr:from>
    <xdr:to>
      <xdr:col>3</xdr:col>
      <xdr:colOff>2530928</xdr:colOff>
      <xdr:row>146</xdr:row>
      <xdr:rowOff>176892</xdr:rowOff>
    </xdr:to>
    <xdr:cxnSp macro="">
      <xdr:nvCxnSpPr>
        <xdr:cNvPr id="8" name="Conector recto 7">
          <a:extLst>
            <a:ext uri="{FF2B5EF4-FFF2-40B4-BE49-F238E27FC236}">
              <a16:creationId xmlns:a16="http://schemas.microsoft.com/office/drawing/2014/main" id="{00000000-0008-0000-0200-000008000000}"/>
            </a:ext>
          </a:extLst>
        </xdr:cNvPr>
        <xdr:cNvCxnSpPr/>
      </xdr:nvCxnSpPr>
      <xdr:spPr>
        <a:xfrm>
          <a:off x="76200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27215</xdr:colOff>
      <xdr:row>105</xdr:row>
      <xdr:rowOff>27215</xdr:rowOff>
    </xdr:from>
    <xdr:to>
      <xdr:col>11</xdr:col>
      <xdr:colOff>2558143</xdr:colOff>
      <xdr:row>147</xdr:row>
      <xdr:rowOff>13607</xdr:rowOff>
    </xdr:to>
    <xdr:cxnSp macro="">
      <xdr:nvCxnSpPr>
        <xdr:cNvPr id="9" name="Conector recto 8">
          <a:extLst>
            <a:ext uri="{FF2B5EF4-FFF2-40B4-BE49-F238E27FC236}">
              <a16:creationId xmlns:a16="http://schemas.microsoft.com/office/drawing/2014/main" id="{00000000-0008-0000-0200-000009000000}"/>
            </a:ext>
          </a:extLst>
        </xdr:cNvPr>
        <xdr:cNvCxnSpPr/>
      </xdr:nvCxnSpPr>
      <xdr:spPr>
        <a:xfrm>
          <a:off x="11266715" y="5740853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88</xdr:row>
      <xdr:rowOff>0</xdr:rowOff>
    </xdr:from>
    <xdr:to>
      <xdr:col>11</xdr:col>
      <xdr:colOff>2530928</xdr:colOff>
      <xdr:row>102</xdr:row>
      <xdr:rowOff>544285</xdr:rowOff>
    </xdr:to>
    <xdr:cxnSp macro="">
      <xdr:nvCxnSpPr>
        <xdr:cNvPr id="10" name="Conector recto 9">
          <a:extLst>
            <a:ext uri="{FF2B5EF4-FFF2-40B4-BE49-F238E27FC236}">
              <a16:creationId xmlns:a16="http://schemas.microsoft.com/office/drawing/2014/main" id="{00000000-0008-0000-0200-00000A000000}"/>
            </a:ext>
          </a:extLst>
        </xdr:cNvPr>
        <xdr:cNvCxnSpPr/>
      </xdr:nvCxnSpPr>
      <xdr:spPr>
        <a:xfrm>
          <a:off x="1123950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71</xdr:row>
      <xdr:rowOff>0</xdr:rowOff>
    </xdr:from>
    <xdr:to>
      <xdr:col>11</xdr:col>
      <xdr:colOff>2530928</xdr:colOff>
      <xdr:row>85</xdr:row>
      <xdr:rowOff>544285</xdr:rowOff>
    </xdr:to>
    <xdr:cxnSp macro="">
      <xdr:nvCxnSpPr>
        <xdr:cNvPr id="11" name="Conector recto 10">
          <a:extLst>
            <a:ext uri="{FF2B5EF4-FFF2-40B4-BE49-F238E27FC236}">
              <a16:creationId xmlns:a16="http://schemas.microsoft.com/office/drawing/2014/main" id="{00000000-0008-0000-0200-00000B000000}"/>
            </a:ext>
          </a:extLst>
        </xdr:cNvPr>
        <xdr:cNvCxnSpPr/>
      </xdr:nvCxnSpPr>
      <xdr:spPr>
        <a:xfrm>
          <a:off x="1123950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54</xdr:row>
      <xdr:rowOff>0</xdr:rowOff>
    </xdr:from>
    <xdr:to>
      <xdr:col>11</xdr:col>
      <xdr:colOff>2530928</xdr:colOff>
      <xdr:row>68</xdr:row>
      <xdr:rowOff>544285</xdr:rowOff>
    </xdr:to>
    <xdr:cxnSp macro="">
      <xdr:nvCxnSpPr>
        <xdr:cNvPr id="12" name="Conector recto 11">
          <a:extLst>
            <a:ext uri="{FF2B5EF4-FFF2-40B4-BE49-F238E27FC236}">
              <a16:creationId xmlns:a16="http://schemas.microsoft.com/office/drawing/2014/main" id="{00000000-0008-0000-0200-00000C000000}"/>
            </a:ext>
          </a:extLst>
        </xdr:cNvPr>
        <xdr:cNvCxnSpPr/>
      </xdr:nvCxnSpPr>
      <xdr:spPr>
        <a:xfrm>
          <a:off x="1123950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37</xdr:row>
      <xdr:rowOff>0</xdr:rowOff>
    </xdr:from>
    <xdr:to>
      <xdr:col>11</xdr:col>
      <xdr:colOff>2530928</xdr:colOff>
      <xdr:row>51</xdr:row>
      <xdr:rowOff>544285</xdr:rowOff>
    </xdr:to>
    <xdr:cxnSp macro="">
      <xdr:nvCxnSpPr>
        <xdr:cNvPr id="13" name="Conector recto 12">
          <a:extLst>
            <a:ext uri="{FF2B5EF4-FFF2-40B4-BE49-F238E27FC236}">
              <a16:creationId xmlns:a16="http://schemas.microsoft.com/office/drawing/2014/main" id="{00000000-0008-0000-0200-00000D000000}"/>
            </a:ext>
          </a:extLst>
        </xdr:cNvPr>
        <xdr:cNvCxnSpPr/>
      </xdr:nvCxnSpPr>
      <xdr:spPr>
        <a:xfrm>
          <a:off x="1123950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20</xdr:row>
      <xdr:rowOff>0</xdr:rowOff>
    </xdr:from>
    <xdr:to>
      <xdr:col>11</xdr:col>
      <xdr:colOff>2530928</xdr:colOff>
      <xdr:row>34</xdr:row>
      <xdr:rowOff>544285</xdr:rowOff>
    </xdr:to>
    <xdr:cxnSp macro="">
      <xdr:nvCxnSpPr>
        <xdr:cNvPr id="14" name="Conector recto 13">
          <a:extLst>
            <a:ext uri="{FF2B5EF4-FFF2-40B4-BE49-F238E27FC236}">
              <a16:creationId xmlns:a16="http://schemas.microsoft.com/office/drawing/2014/main" id="{00000000-0008-0000-0200-00000E000000}"/>
            </a:ext>
          </a:extLst>
        </xdr:cNvPr>
        <xdr:cNvCxnSpPr/>
      </xdr:nvCxnSpPr>
      <xdr:spPr>
        <a:xfrm>
          <a:off x="11239500"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20</xdr:row>
      <xdr:rowOff>0</xdr:rowOff>
    </xdr:from>
    <xdr:to>
      <xdr:col>15</xdr:col>
      <xdr:colOff>2530928</xdr:colOff>
      <xdr:row>34</xdr:row>
      <xdr:rowOff>544285</xdr:rowOff>
    </xdr:to>
    <xdr:cxnSp macro="">
      <xdr:nvCxnSpPr>
        <xdr:cNvPr id="15" name="Conector recto 14">
          <a:extLst>
            <a:ext uri="{FF2B5EF4-FFF2-40B4-BE49-F238E27FC236}">
              <a16:creationId xmlns:a16="http://schemas.microsoft.com/office/drawing/2014/main" id="{00000000-0008-0000-0200-00000F000000}"/>
            </a:ext>
          </a:extLst>
        </xdr:cNvPr>
        <xdr:cNvCxnSpPr/>
      </xdr:nvCxnSpPr>
      <xdr:spPr>
        <a:xfrm>
          <a:off x="16478250"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37</xdr:row>
      <xdr:rowOff>0</xdr:rowOff>
    </xdr:from>
    <xdr:to>
      <xdr:col>15</xdr:col>
      <xdr:colOff>2530928</xdr:colOff>
      <xdr:row>51</xdr:row>
      <xdr:rowOff>544285</xdr:rowOff>
    </xdr:to>
    <xdr:cxnSp macro="">
      <xdr:nvCxnSpPr>
        <xdr:cNvPr id="16" name="Conector recto 15">
          <a:extLst>
            <a:ext uri="{FF2B5EF4-FFF2-40B4-BE49-F238E27FC236}">
              <a16:creationId xmlns:a16="http://schemas.microsoft.com/office/drawing/2014/main" id="{00000000-0008-0000-0200-000010000000}"/>
            </a:ext>
          </a:extLst>
        </xdr:cNvPr>
        <xdr:cNvCxnSpPr/>
      </xdr:nvCxnSpPr>
      <xdr:spPr>
        <a:xfrm>
          <a:off x="1647825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54</xdr:row>
      <xdr:rowOff>0</xdr:rowOff>
    </xdr:from>
    <xdr:to>
      <xdr:col>15</xdr:col>
      <xdr:colOff>2530928</xdr:colOff>
      <xdr:row>68</xdr:row>
      <xdr:rowOff>544285</xdr:rowOff>
    </xdr:to>
    <xdr:cxnSp macro="">
      <xdr:nvCxnSpPr>
        <xdr:cNvPr id="17" name="Conector recto 16">
          <a:extLst>
            <a:ext uri="{FF2B5EF4-FFF2-40B4-BE49-F238E27FC236}">
              <a16:creationId xmlns:a16="http://schemas.microsoft.com/office/drawing/2014/main" id="{00000000-0008-0000-0200-000011000000}"/>
            </a:ext>
          </a:extLst>
        </xdr:cNvPr>
        <xdr:cNvCxnSpPr/>
      </xdr:nvCxnSpPr>
      <xdr:spPr>
        <a:xfrm>
          <a:off x="1647825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71</xdr:row>
      <xdr:rowOff>0</xdr:rowOff>
    </xdr:from>
    <xdr:to>
      <xdr:col>15</xdr:col>
      <xdr:colOff>2530928</xdr:colOff>
      <xdr:row>85</xdr:row>
      <xdr:rowOff>544285</xdr:rowOff>
    </xdr:to>
    <xdr:cxnSp macro="">
      <xdr:nvCxnSpPr>
        <xdr:cNvPr id="18" name="Conector recto 17">
          <a:extLst>
            <a:ext uri="{FF2B5EF4-FFF2-40B4-BE49-F238E27FC236}">
              <a16:creationId xmlns:a16="http://schemas.microsoft.com/office/drawing/2014/main" id="{00000000-0008-0000-0200-000012000000}"/>
            </a:ext>
          </a:extLst>
        </xdr:cNvPr>
        <xdr:cNvCxnSpPr/>
      </xdr:nvCxnSpPr>
      <xdr:spPr>
        <a:xfrm>
          <a:off x="1647825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88</xdr:row>
      <xdr:rowOff>0</xdr:rowOff>
    </xdr:from>
    <xdr:to>
      <xdr:col>15</xdr:col>
      <xdr:colOff>2530928</xdr:colOff>
      <xdr:row>102</xdr:row>
      <xdr:rowOff>544285</xdr:rowOff>
    </xdr:to>
    <xdr:cxnSp macro="">
      <xdr:nvCxnSpPr>
        <xdr:cNvPr id="19" name="Conector recto 18">
          <a:extLst>
            <a:ext uri="{FF2B5EF4-FFF2-40B4-BE49-F238E27FC236}">
              <a16:creationId xmlns:a16="http://schemas.microsoft.com/office/drawing/2014/main" id="{00000000-0008-0000-0200-000013000000}"/>
            </a:ext>
          </a:extLst>
        </xdr:cNvPr>
        <xdr:cNvCxnSpPr/>
      </xdr:nvCxnSpPr>
      <xdr:spPr>
        <a:xfrm>
          <a:off x="1647825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105</xdr:row>
      <xdr:rowOff>0</xdr:rowOff>
    </xdr:from>
    <xdr:to>
      <xdr:col>15</xdr:col>
      <xdr:colOff>2530928</xdr:colOff>
      <xdr:row>146</xdr:row>
      <xdr:rowOff>176892</xdr:rowOff>
    </xdr:to>
    <xdr:cxnSp macro="">
      <xdr:nvCxnSpPr>
        <xdr:cNvPr id="20" name="Conector recto 19">
          <a:extLst>
            <a:ext uri="{FF2B5EF4-FFF2-40B4-BE49-F238E27FC236}">
              <a16:creationId xmlns:a16="http://schemas.microsoft.com/office/drawing/2014/main" id="{00000000-0008-0000-0200-000014000000}"/>
            </a:ext>
          </a:extLst>
        </xdr:cNvPr>
        <xdr:cNvCxnSpPr/>
      </xdr:nvCxnSpPr>
      <xdr:spPr>
        <a:xfrm>
          <a:off x="1647825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105</xdr:row>
      <xdr:rowOff>0</xdr:rowOff>
    </xdr:from>
    <xdr:to>
      <xdr:col>19</xdr:col>
      <xdr:colOff>2517321</xdr:colOff>
      <xdr:row>146</xdr:row>
      <xdr:rowOff>176892</xdr:rowOff>
    </xdr:to>
    <xdr:cxnSp macro="">
      <xdr:nvCxnSpPr>
        <xdr:cNvPr id="21" name="Conector recto 20">
          <a:extLst>
            <a:ext uri="{FF2B5EF4-FFF2-40B4-BE49-F238E27FC236}">
              <a16:creationId xmlns:a16="http://schemas.microsoft.com/office/drawing/2014/main" id="{00000000-0008-0000-0200-000015000000}"/>
            </a:ext>
          </a:extLst>
        </xdr:cNvPr>
        <xdr:cNvCxnSpPr/>
      </xdr:nvCxnSpPr>
      <xdr:spPr>
        <a:xfrm>
          <a:off x="21703393"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105</xdr:row>
      <xdr:rowOff>0</xdr:rowOff>
    </xdr:from>
    <xdr:to>
      <xdr:col>23</xdr:col>
      <xdr:colOff>2558143</xdr:colOff>
      <xdr:row>146</xdr:row>
      <xdr:rowOff>176892</xdr:rowOff>
    </xdr:to>
    <xdr:cxnSp macro="">
      <xdr:nvCxnSpPr>
        <xdr:cNvPr id="22" name="Conector recto 21">
          <a:extLst>
            <a:ext uri="{FF2B5EF4-FFF2-40B4-BE49-F238E27FC236}">
              <a16:creationId xmlns:a16="http://schemas.microsoft.com/office/drawing/2014/main" id="{00000000-0008-0000-0200-000016000000}"/>
            </a:ext>
          </a:extLst>
        </xdr:cNvPr>
        <xdr:cNvCxnSpPr/>
      </xdr:nvCxnSpPr>
      <xdr:spPr>
        <a:xfrm>
          <a:off x="27010179"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88</xdr:row>
      <xdr:rowOff>0</xdr:rowOff>
    </xdr:from>
    <xdr:to>
      <xdr:col>19</xdr:col>
      <xdr:colOff>2517321</xdr:colOff>
      <xdr:row>102</xdr:row>
      <xdr:rowOff>544285</xdr:rowOff>
    </xdr:to>
    <xdr:cxnSp macro="">
      <xdr:nvCxnSpPr>
        <xdr:cNvPr id="23" name="Conector recto 22">
          <a:extLst>
            <a:ext uri="{FF2B5EF4-FFF2-40B4-BE49-F238E27FC236}">
              <a16:creationId xmlns:a16="http://schemas.microsoft.com/office/drawing/2014/main" id="{00000000-0008-0000-0200-000017000000}"/>
            </a:ext>
          </a:extLst>
        </xdr:cNvPr>
        <xdr:cNvCxnSpPr/>
      </xdr:nvCxnSpPr>
      <xdr:spPr>
        <a:xfrm>
          <a:off x="21703393"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88</xdr:row>
      <xdr:rowOff>0</xdr:rowOff>
    </xdr:from>
    <xdr:to>
      <xdr:col>23</xdr:col>
      <xdr:colOff>2558143</xdr:colOff>
      <xdr:row>102</xdr:row>
      <xdr:rowOff>544285</xdr:rowOff>
    </xdr:to>
    <xdr:cxnSp macro="">
      <xdr:nvCxnSpPr>
        <xdr:cNvPr id="24" name="Conector recto 23">
          <a:extLst>
            <a:ext uri="{FF2B5EF4-FFF2-40B4-BE49-F238E27FC236}">
              <a16:creationId xmlns:a16="http://schemas.microsoft.com/office/drawing/2014/main" id="{00000000-0008-0000-0200-000018000000}"/>
            </a:ext>
          </a:extLst>
        </xdr:cNvPr>
        <xdr:cNvCxnSpPr/>
      </xdr:nvCxnSpPr>
      <xdr:spPr>
        <a:xfrm>
          <a:off x="27010179"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71</xdr:row>
      <xdr:rowOff>0</xdr:rowOff>
    </xdr:from>
    <xdr:to>
      <xdr:col>23</xdr:col>
      <xdr:colOff>2558143</xdr:colOff>
      <xdr:row>85</xdr:row>
      <xdr:rowOff>544285</xdr:rowOff>
    </xdr:to>
    <xdr:cxnSp macro="">
      <xdr:nvCxnSpPr>
        <xdr:cNvPr id="25" name="Conector recto 24">
          <a:extLst>
            <a:ext uri="{FF2B5EF4-FFF2-40B4-BE49-F238E27FC236}">
              <a16:creationId xmlns:a16="http://schemas.microsoft.com/office/drawing/2014/main" id="{00000000-0008-0000-0200-000019000000}"/>
            </a:ext>
          </a:extLst>
        </xdr:cNvPr>
        <xdr:cNvCxnSpPr/>
      </xdr:nvCxnSpPr>
      <xdr:spPr>
        <a:xfrm>
          <a:off x="27010179"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71</xdr:row>
      <xdr:rowOff>0</xdr:rowOff>
    </xdr:from>
    <xdr:to>
      <xdr:col>19</xdr:col>
      <xdr:colOff>2517321</xdr:colOff>
      <xdr:row>85</xdr:row>
      <xdr:rowOff>544285</xdr:rowOff>
    </xdr:to>
    <xdr:cxnSp macro="">
      <xdr:nvCxnSpPr>
        <xdr:cNvPr id="26" name="Conector recto 25">
          <a:extLst>
            <a:ext uri="{FF2B5EF4-FFF2-40B4-BE49-F238E27FC236}">
              <a16:creationId xmlns:a16="http://schemas.microsoft.com/office/drawing/2014/main" id="{00000000-0008-0000-0200-00001A000000}"/>
            </a:ext>
          </a:extLst>
        </xdr:cNvPr>
        <xdr:cNvCxnSpPr/>
      </xdr:nvCxnSpPr>
      <xdr:spPr>
        <a:xfrm>
          <a:off x="21703393"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54</xdr:row>
      <xdr:rowOff>0</xdr:rowOff>
    </xdr:from>
    <xdr:to>
      <xdr:col>19</xdr:col>
      <xdr:colOff>2517321</xdr:colOff>
      <xdr:row>68</xdr:row>
      <xdr:rowOff>544285</xdr:rowOff>
    </xdr:to>
    <xdr:cxnSp macro="">
      <xdr:nvCxnSpPr>
        <xdr:cNvPr id="27" name="Conector recto 26">
          <a:extLst>
            <a:ext uri="{FF2B5EF4-FFF2-40B4-BE49-F238E27FC236}">
              <a16:creationId xmlns:a16="http://schemas.microsoft.com/office/drawing/2014/main" id="{00000000-0008-0000-0200-00001B000000}"/>
            </a:ext>
          </a:extLst>
        </xdr:cNvPr>
        <xdr:cNvCxnSpPr/>
      </xdr:nvCxnSpPr>
      <xdr:spPr>
        <a:xfrm>
          <a:off x="21703393"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54</xdr:row>
      <xdr:rowOff>0</xdr:rowOff>
    </xdr:from>
    <xdr:to>
      <xdr:col>23</xdr:col>
      <xdr:colOff>2558143</xdr:colOff>
      <xdr:row>68</xdr:row>
      <xdr:rowOff>544285</xdr:rowOff>
    </xdr:to>
    <xdr:cxnSp macro="">
      <xdr:nvCxnSpPr>
        <xdr:cNvPr id="28" name="Conector recto 27">
          <a:extLst>
            <a:ext uri="{FF2B5EF4-FFF2-40B4-BE49-F238E27FC236}">
              <a16:creationId xmlns:a16="http://schemas.microsoft.com/office/drawing/2014/main" id="{00000000-0008-0000-0200-00001C000000}"/>
            </a:ext>
          </a:extLst>
        </xdr:cNvPr>
        <xdr:cNvCxnSpPr/>
      </xdr:nvCxnSpPr>
      <xdr:spPr>
        <a:xfrm>
          <a:off x="27010179"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37</xdr:row>
      <xdr:rowOff>0</xdr:rowOff>
    </xdr:from>
    <xdr:to>
      <xdr:col>19</xdr:col>
      <xdr:colOff>2517321</xdr:colOff>
      <xdr:row>51</xdr:row>
      <xdr:rowOff>544285</xdr:rowOff>
    </xdr:to>
    <xdr:cxnSp macro="">
      <xdr:nvCxnSpPr>
        <xdr:cNvPr id="29" name="Conector recto 28">
          <a:extLst>
            <a:ext uri="{FF2B5EF4-FFF2-40B4-BE49-F238E27FC236}">
              <a16:creationId xmlns:a16="http://schemas.microsoft.com/office/drawing/2014/main" id="{00000000-0008-0000-0200-00001D000000}"/>
            </a:ext>
          </a:extLst>
        </xdr:cNvPr>
        <xdr:cNvCxnSpPr/>
      </xdr:nvCxnSpPr>
      <xdr:spPr>
        <a:xfrm>
          <a:off x="21703393"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37</xdr:row>
      <xdr:rowOff>0</xdr:rowOff>
    </xdr:from>
    <xdr:to>
      <xdr:col>23</xdr:col>
      <xdr:colOff>2558143</xdr:colOff>
      <xdr:row>51</xdr:row>
      <xdr:rowOff>544285</xdr:rowOff>
    </xdr:to>
    <xdr:cxnSp macro="">
      <xdr:nvCxnSpPr>
        <xdr:cNvPr id="30" name="Conector recto 29">
          <a:extLst>
            <a:ext uri="{FF2B5EF4-FFF2-40B4-BE49-F238E27FC236}">
              <a16:creationId xmlns:a16="http://schemas.microsoft.com/office/drawing/2014/main" id="{00000000-0008-0000-0200-00001E000000}"/>
            </a:ext>
          </a:extLst>
        </xdr:cNvPr>
        <xdr:cNvCxnSpPr/>
      </xdr:nvCxnSpPr>
      <xdr:spPr>
        <a:xfrm>
          <a:off x="27010179"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20</xdr:row>
      <xdr:rowOff>0</xdr:rowOff>
    </xdr:from>
    <xdr:to>
      <xdr:col>19</xdr:col>
      <xdr:colOff>2517321</xdr:colOff>
      <xdr:row>34</xdr:row>
      <xdr:rowOff>544285</xdr:rowOff>
    </xdr:to>
    <xdr:cxnSp macro="">
      <xdr:nvCxnSpPr>
        <xdr:cNvPr id="31" name="Conector recto 30">
          <a:extLst>
            <a:ext uri="{FF2B5EF4-FFF2-40B4-BE49-F238E27FC236}">
              <a16:creationId xmlns:a16="http://schemas.microsoft.com/office/drawing/2014/main" id="{00000000-0008-0000-0200-00001F000000}"/>
            </a:ext>
          </a:extLst>
        </xdr:cNvPr>
        <xdr:cNvCxnSpPr/>
      </xdr:nvCxnSpPr>
      <xdr:spPr>
        <a:xfrm>
          <a:off x="21703393"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20</xdr:row>
      <xdr:rowOff>0</xdr:rowOff>
    </xdr:from>
    <xdr:to>
      <xdr:col>23</xdr:col>
      <xdr:colOff>2558143</xdr:colOff>
      <xdr:row>34</xdr:row>
      <xdr:rowOff>544285</xdr:rowOff>
    </xdr:to>
    <xdr:cxnSp macro="">
      <xdr:nvCxnSpPr>
        <xdr:cNvPr id="32" name="Conector recto 31">
          <a:extLst>
            <a:ext uri="{FF2B5EF4-FFF2-40B4-BE49-F238E27FC236}">
              <a16:creationId xmlns:a16="http://schemas.microsoft.com/office/drawing/2014/main" id="{00000000-0008-0000-0200-000020000000}"/>
            </a:ext>
          </a:extLst>
        </xdr:cNvPr>
        <xdr:cNvCxnSpPr/>
      </xdr:nvCxnSpPr>
      <xdr:spPr>
        <a:xfrm>
          <a:off x="27010179"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20</xdr:row>
      <xdr:rowOff>0</xdr:rowOff>
    </xdr:from>
    <xdr:to>
      <xdr:col>27</xdr:col>
      <xdr:colOff>2530928</xdr:colOff>
      <xdr:row>34</xdr:row>
      <xdr:rowOff>544285</xdr:rowOff>
    </xdr:to>
    <xdr:cxnSp macro="">
      <xdr:nvCxnSpPr>
        <xdr:cNvPr id="33" name="Conector recto 32">
          <a:extLst>
            <a:ext uri="{FF2B5EF4-FFF2-40B4-BE49-F238E27FC236}">
              <a16:creationId xmlns:a16="http://schemas.microsoft.com/office/drawing/2014/main" id="{00000000-0008-0000-0200-000021000000}"/>
            </a:ext>
          </a:extLst>
        </xdr:cNvPr>
        <xdr:cNvCxnSpPr/>
      </xdr:nvCxnSpPr>
      <xdr:spPr>
        <a:xfrm>
          <a:off x="32357786"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37</xdr:row>
      <xdr:rowOff>0</xdr:rowOff>
    </xdr:from>
    <xdr:to>
      <xdr:col>27</xdr:col>
      <xdr:colOff>2530928</xdr:colOff>
      <xdr:row>51</xdr:row>
      <xdr:rowOff>544285</xdr:rowOff>
    </xdr:to>
    <xdr:cxnSp macro="">
      <xdr:nvCxnSpPr>
        <xdr:cNvPr id="34" name="Conector recto 33">
          <a:extLst>
            <a:ext uri="{FF2B5EF4-FFF2-40B4-BE49-F238E27FC236}">
              <a16:creationId xmlns:a16="http://schemas.microsoft.com/office/drawing/2014/main" id="{00000000-0008-0000-0200-000022000000}"/>
            </a:ext>
          </a:extLst>
        </xdr:cNvPr>
        <xdr:cNvCxnSpPr/>
      </xdr:nvCxnSpPr>
      <xdr:spPr>
        <a:xfrm>
          <a:off x="32357786"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37</xdr:row>
      <xdr:rowOff>0</xdr:rowOff>
    </xdr:from>
    <xdr:to>
      <xdr:col>31</xdr:col>
      <xdr:colOff>2530928</xdr:colOff>
      <xdr:row>51</xdr:row>
      <xdr:rowOff>544285</xdr:rowOff>
    </xdr:to>
    <xdr:cxnSp macro="">
      <xdr:nvCxnSpPr>
        <xdr:cNvPr id="35" name="Conector recto 34">
          <a:extLst>
            <a:ext uri="{FF2B5EF4-FFF2-40B4-BE49-F238E27FC236}">
              <a16:creationId xmlns:a16="http://schemas.microsoft.com/office/drawing/2014/main" id="{00000000-0008-0000-0200-000023000000}"/>
            </a:ext>
          </a:extLst>
        </xdr:cNvPr>
        <xdr:cNvCxnSpPr/>
      </xdr:nvCxnSpPr>
      <xdr:spPr>
        <a:xfrm>
          <a:off x="3762375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54</xdr:row>
      <xdr:rowOff>0</xdr:rowOff>
    </xdr:from>
    <xdr:to>
      <xdr:col>27</xdr:col>
      <xdr:colOff>2530928</xdr:colOff>
      <xdr:row>68</xdr:row>
      <xdr:rowOff>544285</xdr:rowOff>
    </xdr:to>
    <xdr:cxnSp macro="">
      <xdr:nvCxnSpPr>
        <xdr:cNvPr id="36" name="Conector recto 35">
          <a:extLst>
            <a:ext uri="{FF2B5EF4-FFF2-40B4-BE49-F238E27FC236}">
              <a16:creationId xmlns:a16="http://schemas.microsoft.com/office/drawing/2014/main" id="{00000000-0008-0000-0200-000024000000}"/>
            </a:ext>
          </a:extLst>
        </xdr:cNvPr>
        <xdr:cNvCxnSpPr/>
      </xdr:nvCxnSpPr>
      <xdr:spPr>
        <a:xfrm>
          <a:off x="32357786"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54</xdr:row>
      <xdr:rowOff>0</xdr:rowOff>
    </xdr:from>
    <xdr:to>
      <xdr:col>31</xdr:col>
      <xdr:colOff>2530928</xdr:colOff>
      <xdr:row>68</xdr:row>
      <xdr:rowOff>544285</xdr:rowOff>
    </xdr:to>
    <xdr:cxnSp macro="">
      <xdr:nvCxnSpPr>
        <xdr:cNvPr id="37" name="Conector recto 36">
          <a:extLst>
            <a:ext uri="{FF2B5EF4-FFF2-40B4-BE49-F238E27FC236}">
              <a16:creationId xmlns:a16="http://schemas.microsoft.com/office/drawing/2014/main" id="{00000000-0008-0000-0200-000025000000}"/>
            </a:ext>
          </a:extLst>
        </xdr:cNvPr>
        <xdr:cNvCxnSpPr/>
      </xdr:nvCxnSpPr>
      <xdr:spPr>
        <a:xfrm>
          <a:off x="3762375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71</xdr:row>
      <xdr:rowOff>0</xdr:rowOff>
    </xdr:from>
    <xdr:to>
      <xdr:col>27</xdr:col>
      <xdr:colOff>2530928</xdr:colOff>
      <xdr:row>85</xdr:row>
      <xdr:rowOff>544285</xdr:rowOff>
    </xdr:to>
    <xdr:cxnSp macro="">
      <xdr:nvCxnSpPr>
        <xdr:cNvPr id="38" name="Conector recto 37">
          <a:extLst>
            <a:ext uri="{FF2B5EF4-FFF2-40B4-BE49-F238E27FC236}">
              <a16:creationId xmlns:a16="http://schemas.microsoft.com/office/drawing/2014/main" id="{00000000-0008-0000-0200-000026000000}"/>
            </a:ext>
          </a:extLst>
        </xdr:cNvPr>
        <xdr:cNvCxnSpPr/>
      </xdr:nvCxnSpPr>
      <xdr:spPr>
        <a:xfrm>
          <a:off x="32357786"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71</xdr:row>
      <xdr:rowOff>0</xdr:rowOff>
    </xdr:from>
    <xdr:to>
      <xdr:col>31</xdr:col>
      <xdr:colOff>2530928</xdr:colOff>
      <xdr:row>85</xdr:row>
      <xdr:rowOff>544285</xdr:rowOff>
    </xdr:to>
    <xdr:cxnSp macro="">
      <xdr:nvCxnSpPr>
        <xdr:cNvPr id="39" name="Conector recto 38">
          <a:extLst>
            <a:ext uri="{FF2B5EF4-FFF2-40B4-BE49-F238E27FC236}">
              <a16:creationId xmlns:a16="http://schemas.microsoft.com/office/drawing/2014/main" id="{00000000-0008-0000-0200-000027000000}"/>
            </a:ext>
          </a:extLst>
        </xdr:cNvPr>
        <xdr:cNvCxnSpPr/>
      </xdr:nvCxnSpPr>
      <xdr:spPr>
        <a:xfrm>
          <a:off x="3762375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88</xdr:row>
      <xdr:rowOff>0</xdr:rowOff>
    </xdr:from>
    <xdr:to>
      <xdr:col>27</xdr:col>
      <xdr:colOff>2530928</xdr:colOff>
      <xdr:row>102</xdr:row>
      <xdr:rowOff>544285</xdr:rowOff>
    </xdr:to>
    <xdr:cxnSp macro="">
      <xdr:nvCxnSpPr>
        <xdr:cNvPr id="40" name="Conector recto 39">
          <a:extLst>
            <a:ext uri="{FF2B5EF4-FFF2-40B4-BE49-F238E27FC236}">
              <a16:creationId xmlns:a16="http://schemas.microsoft.com/office/drawing/2014/main" id="{00000000-0008-0000-0200-000028000000}"/>
            </a:ext>
          </a:extLst>
        </xdr:cNvPr>
        <xdr:cNvCxnSpPr/>
      </xdr:nvCxnSpPr>
      <xdr:spPr>
        <a:xfrm>
          <a:off x="32357786"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88</xdr:row>
      <xdr:rowOff>0</xdr:rowOff>
    </xdr:from>
    <xdr:to>
      <xdr:col>31</xdr:col>
      <xdr:colOff>2530928</xdr:colOff>
      <xdr:row>102</xdr:row>
      <xdr:rowOff>544285</xdr:rowOff>
    </xdr:to>
    <xdr:cxnSp macro="">
      <xdr:nvCxnSpPr>
        <xdr:cNvPr id="41" name="Conector recto 40">
          <a:extLst>
            <a:ext uri="{FF2B5EF4-FFF2-40B4-BE49-F238E27FC236}">
              <a16:creationId xmlns:a16="http://schemas.microsoft.com/office/drawing/2014/main" id="{00000000-0008-0000-0200-000029000000}"/>
            </a:ext>
          </a:extLst>
        </xdr:cNvPr>
        <xdr:cNvCxnSpPr/>
      </xdr:nvCxnSpPr>
      <xdr:spPr>
        <a:xfrm>
          <a:off x="3762375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105</xdr:row>
      <xdr:rowOff>0</xdr:rowOff>
    </xdr:from>
    <xdr:to>
      <xdr:col>31</xdr:col>
      <xdr:colOff>2530928</xdr:colOff>
      <xdr:row>146</xdr:row>
      <xdr:rowOff>176892</xdr:rowOff>
    </xdr:to>
    <xdr:cxnSp macro="">
      <xdr:nvCxnSpPr>
        <xdr:cNvPr id="42" name="Conector recto 41">
          <a:extLst>
            <a:ext uri="{FF2B5EF4-FFF2-40B4-BE49-F238E27FC236}">
              <a16:creationId xmlns:a16="http://schemas.microsoft.com/office/drawing/2014/main" id="{00000000-0008-0000-0200-00002A000000}"/>
            </a:ext>
          </a:extLst>
        </xdr:cNvPr>
        <xdr:cNvCxnSpPr/>
      </xdr:nvCxnSpPr>
      <xdr:spPr>
        <a:xfrm>
          <a:off x="3762375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105</xdr:row>
      <xdr:rowOff>0</xdr:rowOff>
    </xdr:from>
    <xdr:to>
      <xdr:col>27</xdr:col>
      <xdr:colOff>2530928</xdr:colOff>
      <xdr:row>146</xdr:row>
      <xdr:rowOff>176892</xdr:rowOff>
    </xdr:to>
    <xdr:cxnSp macro="">
      <xdr:nvCxnSpPr>
        <xdr:cNvPr id="43" name="Conector recto 42">
          <a:extLst>
            <a:ext uri="{FF2B5EF4-FFF2-40B4-BE49-F238E27FC236}">
              <a16:creationId xmlns:a16="http://schemas.microsoft.com/office/drawing/2014/main" id="{00000000-0008-0000-0200-00002B000000}"/>
            </a:ext>
          </a:extLst>
        </xdr:cNvPr>
        <xdr:cNvCxnSpPr/>
      </xdr:nvCxnSpPr>
      <xdr:spPr>
        <a:xfrm>
          <a:off x="32357786"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105</xdr:row>
      <xdr:rowOff>0</xdr:rowOff>
    </xdr:from>
    <xdr:to>
      <xdr:col>35</xdr:col>
      <xdr:colOff>2517321</xdr:colOff>
      <xdr:row>146</xdr:row>
      <xdr:rowOff>176892</xdr:rowOff>
    </xdr:to>
    <xdr:cxnSp macro="">
      <xdr:nvCxnSpPr>
        <xdr:cNvPr id="44" name="Conector recto 43">
          <a:extLst>
            <a:ext uri="{FF2B5EF4-FFF2-40B4-BE49-F238E27FC236}">
              <a16:creationId xmlns:a16="http://schemas.microsoft.com/office/drawing/2014/main" id="{00000000-0008-0000-0200-00002C000000}"/>
            </a:ext>
          </a:extLst>
        </xdr:cNvPr>
        <xdr:cNvCxnSpPr/>
      </xdr:nvCxnSpPr>
      <xdr:spPr>
        <a:xfrm>
          <a:off x="4286250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105</xdr:row>
      <xdr:rowOff>0</xdr:rowOff>
    </xdr:from>
    <xdr:to>
      <xdr:col>39</xdr:col>
      <xdr:colOff>2517321</xdr:colOff>
      <xdr:row>146</xdr:row>
      <xdr:rowOff>176892</xdr:rowOff>
    </xdr:to>
    <xdr:cxnSp macro="">
      <xdr:nvCxnSpPr>
        <xdr:cNvPr id="45" name="Conector recto 44">
          <a:extLst>
            <a:ext uri="{FF2B5EF4-FFF2-40B4-BE49-F238E27FC236}">
              <a16:creationId xmlns:a16="http://schemas.microsoft.com/office/drawing/2014/main" id="{00000000-0008-0000-0200-00002D000000}"/>
            </a:ext>
          </a:extLst>
        </xdr:cNvPr>
        <xdr:cNvCxnSpPr/>
      </xdr:nvCxnSpPr>
      <xdr:spPr>
        <a:xfrm>
          <a:off x="4811485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88</xdr:row>
      <xdr:rowOff>0</xdr:rowOff>
    </xdr:from>
    <xdr:to>
      <xdr:col>39</xdr:col>
      <xdr:colOff>2517321</xdr:colOff>
      <xdr:row>102</xdr:row>
      <xdr:rowOff>544285</xdr:rowOff>
    </xdr:to>
    <xdr:cxnSp macro="">
      <xdr:nvCxnSpPr>
        <xdr:cNvPr id="46" name="Conector recto 45">
          <a:extLst>
            <a:ext uri="{FF2B5EF4-FFF2-40B4-BE49-F238E27FC236}">
              <a16:creationId xmlns:a16="http://schemas.microsoft.com/office/drawing/2014/main" id="{00000000-0008-0000-0200-00002E000000}"/>
            </a:ext>
          </a:extLst>
        </xdr:cNvPr>
        <xdr:cNvCxnSpPr/>
      </xdr:nvCxnSpPr>
      <xdr:spPr>
        <a:xfrm>
          <a:off x="48114857"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88</xdr:row>
      <xdr:rowOff>0</xdr:rowOff>
    </xdr:from>
    <xdr:to>
      <xdr:col>35</xdr:col>
      <xdr:colOff>2517321</xdr:colOff>
      <xdr:row>102</xdr:row>
      <xdr:rowOff>544285</xdr:rowOff>
    </xdr:to>
    <xdr:cxnSp macro="">
      <xdr:nvCxnSpPr>
        <xdr:cNvPr id="47" name="Conector recto 46">
          <a:extLst>
            <a:ext uri="{FF2B5EF4-FFF2-40B4-BE49-F238E27FC236}">
              <a16:creationId xmlns:a16="http://schemas.microsoft.com/office/drawing/2014/main" id="{00000000-0008-0000-0200-00002F000000}"/>
            </a:ext>
          </a:extLst>
        </xdr:cNvPr>
        <xdr:cNvCxnSpPr/>
      </xdr:nvCxnSpPr>
      <xdr:spPr>
        <a:xfrm>
          <a:off x="4286250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71</xdr:row>
      <xdr:rowOff>0</xdr:rowOff>
    </xdr:from>
    <xdr:to>
      <xdr:col>39</xdr:col>
      <xdr:colOff>2517321</xdr:colOff>
      <xdr:row>85</xdr:row>
      <xdr:rowOff>544285</xdr:rowOff>
    </xdr:to>
    <xdr:cxnSp macro="">
      <xdr:nvCxnSpPr>
        <xdr:cNvPr id="48" name="Conector recto 47">
          <a:extLst>
            <a:ext uri="{FF2B5EF4-FFF2-40B4-BE49-F238E27FC236}">
              <a16:creationId xmlns:a16="http://schemas.microsoft.com/office/drawing/2014/main" id="{00000000-0008-0000-0200-000030000000}"/>
            </a:ext>
          </a:extLst>
        </xdr:cNvPr>
        <xdr:cNvCxnSpPr/>
      </xdr:nvCxnSpPr>
      <xdr:spPr>
        <a:xfrm>
          <a:off x="48114857"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71</xdr:row>
      <xdr:rowOff>0</xdr:rowOff>
    </xdr:from>
    <xdr:to>
      <xdr:col>35</xdr:col>
      <xdr:colOff>2517321</xdr:colOff>
      <xdr:row>85</xdr:row>
      <xdr:rowOff>544285</xdr:rowOff>
    </xdr:to>
    <xdr:cxnSp macro="">
      <xdr:nvCxnSpPr>
        <xdr:cNvPr id="49" name="Conector recto 48">
          <a:extLst>
            <a:ext uri="{FF2B5EF4-FFF2-40B4-BE49-F238E27FC236}">
              <a16:creationId xmlns:a16="http://schemas.microsoft.com/office/drawing/2014/main" id="{00000000-0008-0000-0200-000031000000}"/>
            </a:ext>
          </a:extLst>
        </xdr:cNvPr>
        <xdr:cNvCxnSpPr/>
      </xdr:nvCxnSpPr>
      <xdr:spPr>
        <a:xfrm>
          <a:off x="4286250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54</xdr:row>
      <xdr:rowOff>0</xdr:rowOff>
    </xdr:from>
    <xdr:to>
      <xdr:col>35</xdr:col>
      <xdr:colOff>2517321</xdr:colOff>
      <xdr:row>68</xdr:row>
      <xdr:rowOff>544285</xdr:rowOff>
    </xdr:to>
    <xdr:cxnSp macro="">
      <xdr:nvCxnSpPr>
        <xdr:cNvPr id="50" name="Conector recto 49">
          <a:extLst>
            <a:ext uri="{FF2B5EF4-FFF2-40B4-BE49-F238E27FC236}">
              <a16:creationId xmlns:a16="http://schemas.microsoft.com/office/drawing/2014/main" id="{00000000-0008-0000-0200-000032000000}"/>
            </a:ext>
          </a:extLst>
        </xdr:cNvPr>
        <xdr:cNvCxnSpPr/>
      </xdr:nvCxnSpPr>
      <xdr:spPr>
        <a:xfrm>
          <a:off x="4286250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54</xdr:row>
      <xdr:rowOff>0</xdr:rowOff>
    </xdr:from>
    <xdr:to>
      <xdr:col>39</xdr:col>
      <xdr:colOff>2517321</xdr:colOff>
      <xdr:row>68</xdr:row>
      <xdr:rowOff>544285</xdr:rowOff>
    </xdr:to>
    <xdr:cxnSp macro="">
      <xdr:nvCxnSpPr>
        <xdr:cNvPr id="51" name="Conector recto 50">
          <a:extLst>
            <a:ext uri="{FF2B5EF4-FFF2-40B4-BE49-F238E27FC236}">
              <a16:creationId xmlns:a16="http://schemas.microsoft.com/office/drawing/2014/main" id="{00000000-0008-0000-0200-000033000000}"/>
            </a:ext>
          </a:extLst>
        </xdr:cNvPr>
        <xdr:cNvCxnSpPr/>
      </xdr:nvCxnSpPr>
      <xdr:spPr>
        <a:xfrm>
          <a:off x="48114857"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37</xdr:row>
      <xdr:rowOff>0</xdr:rowOff>
    </xdr:from>
    <xdr:to>
      <xdr:col>35</xdr:col>
      <xdr:colOff>2517321</xdr:colOff>
      <xdr:row>51</xdr:row>
      <xdr:rowOff>544285</xdr:rowOff>
    </xdr:to>
    <xdr:cxnSp macro="">
      <xdr:nvCxnSpPr>
        <xdr:cNvPr id="52" name="Conector recto 51">
          <a:extLst>
            <a:ext uri="{FF2B5EF4-FFF2-40B4-BE49-F238E27FC236}">
              <a16:creationId xmlns:a16="http://schemas.microsoft.com/office/drawing/2014/main" id="{00000000-0008-0000-0200-000034000000}"/>
            </a:ext>
          </a:extLst>
        </xdr:cNvPr>
        <xdr:cNvCxnSpPr/>
      </xdr:nvCxnSpPr>
      <xdr:spPr>
        <a:xfrm>
          <a:off x="4286250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20</xdr:row>
      <xdr:rowOff>0</xdr:rowOff>
    </xdr:from>
    <xdr:to>
      <xdr:col>47</xdr:col>
      <xdr:colOff>2530928</xdr:colOff>
      <xdr:row>34</xdr:row>
      <xdr:rowOff>544285</xdr:rowOff>
    </xdr:to>
    <xdr:cxnSp macro="">
      <xdr:nvCxnSpPr>
        <xdr:cNvPr id="53" name="Conector recto 52">
          <a:extLst>
            <a:ext uri="{FF2B5EF4-FFF2-40B4-BE49-F238E27FC236}">
              <a16:creationId xmlns:a16="http://schemas.microsoft.com/office/drawing/2014/main" id="{00000000-0008-0000-0200-000035000000}"/>
            </a:ext>
          </a:extLst>
        </xdr:cNvPr>
        <xdr:cNvCxnSpPr/>
      </xdr:nvCxnSpPr>
      <xdr:spPr>
        <a:xfrm>
          <a:off x="53353607"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20</xdr:row>
      <xdr:rowOff>0</xdr:rowOff>
    </xdr:from>
    <xdr:to>
      <xdr:col>55</xdr:col>
      <xdr:colOff>2530928</xdr:colOff>
      <xdr:row>34</xdr:row>
      <xdr:rowOff>544285</xdr:rowOff>
    </xdr:to>
    <xdr:cxnSp macro="">
      <xdr:nvCxnSpPr>
        <xdr:cNvPr id="55" name="Conector recto 54">
          <a:extLst>
            <a:ext uri="{FF2B5EF4-FFF2-40B4-BE49-F238E27FC236}">
              <a16:creationId xmlns:a16="http://schemas.microsoft.com/office/drawing/2014/main" id="{00000000-0008-0000-0200-000037000000}"/>
            </a:ext>
          </a:extLst>
        </xdr:cNvPr>
        <xdr:cNvCxnSpPr/>
      </xdr:nvCxnSpPr>
      <xdr:spPr>
        <a:xfrm>
          <a:off x="63831107"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37</xdr:row>
      <xdr:rowOff>0</xdr:rowOff>
    </xdr:from>
    <xdr:to>
      <xdr:col>47</xdr:col>
      <xdr:colOff>2530928</xdr:colOff>
      <xdr:row>51</xdr:row>
      <xdr:rowOff>544285</xdr:rowOff>
    </xdr:to>
    <xdr:cxnSp macro="">
      <xdr:nvCxnSpPr>
        <xdr:cNvPr id="56" name="Conector recto 55">
          <a:extLst>
            <a:ext uri="{FF2B5EF4-FFF2-40B4-BE49-F238E27FC236}">
              <a16:creationId xmlns:a16="http://schemas.microsoft.com/office/drawing/2014/main" id="{00000000-0008-0000-0200-000038000000}"/>
            </a:ext>
          </a:extLst>
        </xdr:cNvPr>
        <xdr:cNvCxnSpPr/>
      </xdr:nvCxnSpPr>
      <xdr:spPr>
        <a:xfrm>
          <a:off x="53353607"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37</xdr:row>
      <xdr:rowOff>0</xdr:rowOff>
    </xdr:from>
    <xdr:to>
      <xdr:col>55</xdr:col>
      <xdr:colOff>2530928</xdr:colOff>
      <xdr:row>51</xdr:row>
      <xdr:rowOff>544285</xdr:rowOff>
    </xdr:to>
    <xdr:cxnSp macro="">
      <xdr:nvCxnSpPr>
        <xdr:cNvPr id="58" name="Conector recto 57">
          <a:extLst>
            <a:ext uri="{FF2B5EF4-FFF2-40B4-BE49-F238E27FC236}">
              <a16:creationId xmlns:a16="http://schemas.microsoft.com/office/drawing/2014/main" id="{00000000-0008-0000-0200-00003A000000}"/>
            </a:ext>
          </a:extLst>
        </xdr:cNvPr>
        <xdr:cNvCxnSpPr/>
      </xdr:nvCxnSpPr>
      <xdr:spPr>
        <a:xfrm>
          <a:off x="63831107"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54</xdr:row>
      <xdr:rowOff>0</xdr:rowOff>
    </xdr:from>
    <xdr:to>
      <xdr:col>47</xdr:col>
      <xdr:colOff>2530928</xdr:colOff>
      <xdr:row>68</xdr:row>
      <xdr:rowOff>544285</xdr:rowOff>
    </xdr:to>
    <xdr:cxnSp macro="">
      <xdr:nvCxnSpPr>
        <xdr:cNvPr id="59" name="Conector recto 58">
          <a:extLst>
            <a:ext uri="{FF2B5EF4-FFF2-40B4-BE49-F238E27FC236}">
              <a16:creationId xmlns:a16="http://schemas.microsoft.com/office/drawing/2014/main" id="{00000000-0008-0000-0200-00003B000000}"/>
            </a:ext>
          </a:extLst>
        </xdr:cNvPr>
        <xdr:cNvCxnSpPr/>
      </xdr:nvCxnSpPr>
      <xdr:spPr>
        <a:xfrm>
          <a:off x="53353607"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54</xdr:row>
      <xdr:rowOff>0</xdr:rowOff>
    </xdr:from>
    <xdr:to>
      <xdr:col>55</xdr:col>
      <xdr:colOff>2530928</xdr:colOff>
      <xdr:row>68</xdr:row>
      <xdr:rowOff>544285</xdr:rowOff>
    </xdr:to>
    <xdr:cxnSp macro="">
      <xdr:nvCxnSpPr>
        <xdr:cNvPr id="61" name="Conector recto 60">
          <a:extLst>
            <a:ext uri="{FF2B5EF4-FFF2-40B4-BE49-F238E27FC236}">
              <a16:creationId xmlns:a16="http://schemas.microsoft.com/office/drawing/2014/main" id="{00000000-0008-0000-0200-00003D000000}"/>
            </a:ext>
          </a:extLst>
        </xdr:cNvPr>
        <xdr:cNvCxnSpPr/>
      </xdr:nvCxnSpPr>
      <xdr:spPr>
        <a:xfrm>
          <a:off x="63831107"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71</xdr:row>
      <xdr:rowOff>0</xdr:rowOff>
    </xdr:from>
    <xdr:to>
      <xdr:col>47</xdr:col>
      <xdr:colOff>2530928</xdr:colOff>
      <xdr:row>85</xdr:row>
      <xdr:rowOff>544285</xdr:rowOff>
    </xdr:to>
    <xdr:cxnSp macro="">
      <xdr:nvCxnSpPr>
        <xdr:cNvPr id="62" name="Conector recto 61">
          <a:extLst>
            <a:ext uri="{FF2B5EF4-FFF2-40B4-BE49-F238E27FC236}">
              <a16:creationId xmlns:a16="http://schemas.microsoft.com/office/drawing/2014/main" id="{00000000-0008-0000-0200-00003E000000}"/>
            </a:ext>
          </a:extLst>
        </xdr:cNvPr>
        <xdr:cNvCxnSpPr/>
      </xdr:nvCxnSpPr>
      <xdr:spPr>
        <a:xfrm>
          <a:off x="53353607"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71</xdr:row>
      <xdr:rowOff>0</xdr:rowOff>
    </xdr:from>
    <xdr:to>
      <xdr:col>55</xdr:col>
      <xdr:colOff>2530928</xdr:colOff>
      <xdr:row>85</xdr:row>
      <xdr:rowOff>544285</xdr:rowOff>
    </xdr:to>
    <xdr:cxnSp macro="">
      <xdr:nvCxnSpPr>
        <xdr:cNvPr id="64" name="Conector recto 63">
          <a:extLst>
            <a:ext uri="{FF2B5EF4-FFF2-40B4-BE49-F238E27FC236}">
              <a16:creationId xmlns:a16="http://schemas.microsoft.com/office/drawing/2014/main" id="{00000000-0008-0000-0200-000040000000}"/>
            </a:ext>
          </a:extLst>
        </xdr:cNvPr>
        <xdr:cNvCxnSpPr/>
      </xdr:nvCxnSpPr>
      <xdr:spPr>
        <a:xfrm>
          <a:off x="63831107"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88</xdr:row>
      <xdr:rowOff>0</xdr:rowOff>
    </xdr:from>
    <xdr:to>
      <xdr:col>47</xdr:col>
      <xdr:colOff>2530928</xdr:colOff>
      <xdr:row>102</xdr:row>
      <xdr:rowOff>544285</xdr:rowOff>
    </xdr:to>
    <xdr:cxnSp macro="">
      <xdr:nvCxnSpPr>
        <xdr:cNvPr id="65" name="Conector recto 64">
          <a:extLst>
            <a:ext uri="{FF2B5EF4-FFF2-40B4-BE49-F238E27FC236}">
              <a16:creationId xmlns:a16="http://schemas.microsoft.com/office/drawing/2014/main" id="{00000000-0008-0000-0200-000041000000}"/>
            </a:ext>
          </a:extLst>
        </xdr:cNvPr>
        <xdr:cNvCxnSpPr/>
      </xdr:nvCxnSpPr>
      <xdr:spPr>
        <a:xfrm>
          <a:off x="53353607"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88</xdr:row>
      <xdr:rowOff>0</xdr:rowOff>
    </xdr:from>
    <xdr:to>
      <xdr:col>55</xdr:col>
      <xdr:colOff>2530928</xdr:colOff>
      <xdr:row>102</xdr:row>
      <xdr:rowOff>544285</xdr:rowOff>
    </xdr:to>
    <xdr:cxnSp macro="">
      <xdr:nvCxnSpPr>
        <xdr:cNvPr id="67" name="Conector recto 66">
          <a:extLst>
            <a:ext uri="{FF2B5EF4-FFF2-40B4-BE49-F238E27FC236}">
              <a16:creationId xmlns:a16="http://schemas.microsoft.com/office/drawing/2014/main" id="{00000000-0008-0000-0200-000043000000}"/>
            </a:ext>
          </a:extLst>
        </xdr:cNvPr>
        <xdr:cNvCxnSpPr/>
      </xdr:nvCxnSpPr>
      <xdr:spPr>
        <a:xfrm>
          <a:off x="63831107"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105</xdr:row>
      <xdr:rowOff>0</xdr:rowOff>
    </xdr:from>
    <xdr:to>
      <xdr:col>47</xdr:col>
      <xdr:colOff>2530928</xdr:colOff>
      <xdr:row>146</xdr:row>
      <xdr:rowOff>176892</xdr:rowOff>
    </xdr:to>
    <xdr:cxnSp macro="">
      <xdr:nvCxnSpPr>
        <xdr:cNvPr id="68" name="Conector recto 67">
          <a:extLst>
            <a:ext uri="{FF2B5EF4-FFF2-40B4-BE49-F238E27FC236}">
              <a16:creationId xmlns:a16="http://schemas.microsoft.com/office/drawing/2014/main" id="{00000000-0008-0000-0200-000044000000}"/>
            </a:ext>
          </a:extLst>
        </xdr:cNvPr>
        <xdr:cNvCxnSpPr/>
      </xdr:nvCxnSpPr>
      <xdr:spPr>
        <a:xfrm>
          <a:off x="5335360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0</xdr:colOff>
      <xdr:row>105</xdr:row>
      <xdr:rowOff>0</xdr:rowOff>
    </xdr:from>
    <xdr:to>
      <xdr:col>51</xdr:col>
      <xdr:colOff>2530928</xdr:colOff>
      <xdr:row>146</xdr:row>
      <xdr:rowOff>176892</xdr:rowOff>
    </xdr:to>
    <xdr:cxnSp macro="">
      <xdr:nvCxnSpPr>
        <xdr:cNvPr id="69" name="Conector recto 68">
          <a:extLst>
            <a:ext uri="{FF2B5EF4-FFF2-40B4-BE49-F238E27FC236}">
              <a16:creationId xmlns:a16="http://schemas.microsoft.com/office/drawing/2014/main" id="{00000000-0008-0000-0200-000045000000}"/>
            </a:ext>
          </a:extLst>
        </xdr:cNvPr>
        <xdr:cNvCxnSpPr/>
      </xdr:nvCxnSpPr>
      <xdr:spPr>
        <a:xfrm>
          <a:off x="5859235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105</xdr:row>
      <xdr:rowOff>0</xdr:rowOff>
    </xdr:from>
    <xdr:to>
      <xdr:col>55</xdr:col>
      <xdr:colOff>2530928</xdr:colOff>
      <xdr:row>146</xdr:row>
      <xdr:rowOff>176892</xdr:rowOff>
    </xdr:to>
    <xdr:cxnSp macro="">
      <xdr:nvCxnSpPr>
        <xdr:cNvPr id="70" name="Conector recto 69">
          <a:extLst>
            <a:ext uri="{FF2B5EF4-FFF2-40B4-BE49-F238E27FC236}">
              <a16:creationId xmlns:a16="http://schemas.microsoft.com/office/drawing/2014/main" id="{00000000-0008-0000-0200-000046000000}"/>
            </a:ext>
          </a:extLst>
        </xdr:cNvPr>
        <xdr:cNvCxnSpPr/>
      </xdr:nvCxnSpPr>
      <xdr:spPr>
        <a:xfrm>
          <a:off x="6383110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50</xdr:col>
      <xdr:colOff>323849</xdr:colOff>
      <xdr:row>17</xdr:row>
      <xdr:rowOff>73149</xdr:rowOff>
    </xdr:from>
    <xdr:to>
      <xdr:col>52</xdr:col>
      <xdr:colOff>655954</xdr:colOff>
      <xdr:row>26</xdr:row>
      <xdr:rowOff>135890</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747699" y="2949699"/>
          <a:ext cx="1857375" cy="18032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1</xdr:row>
          <xdr:rowOff>182880</xdr:rowOff>
        </xdr:from>
        <xdr:to>
          <xdr:col>2</xdr:col>
          <xdr:colOff>68580</xdr:colOff>
          <xdr:row>3</xdr:row>
          <xdr:rowOff>30480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E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xdr:row>
          <xdr:rowOff>182880</xdr:rowOff>
        </xdr:from>
        <xdr:to>
          <xdr:col>2</xdr:col>
          <xdr:colOff>68580</xdr:colOff>
          <xdr:row>5</xdr:row>
          <xdr:rowOff>30480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E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xdr:row>
          <xdr:rowOff>182880</xdr:rowOff>
        </xdr:from>
        <xdr:to>
          <xdr:col>3</xdr:col>
          <xdr:colOff>68580</xdr:colOff>
          <xdr:row>6</xdr:row>
          <xdr:rowOff>30480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E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5</xdr:row>
          <xdr:rowOff>182880</xdr:rowOff>
        </xdr:from>
        <xdr:to>
          <xdr:col>3</xdr:col>
          <xdr:colOff>68580</xdr:colOff>
          <xdr:row>7</xdr:row>
          <xdr:rowOff>30480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E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7</xdr:row>
          <xdr:rowOff>182880</xdr:rowOff>
        </xdr:from>
        <xdr:to>
          <xdr:col>2</xdr:col>
          <xdr:colOff>259080</xdr:colOff>
          <xdr:row>9</xdr:row>
          <xdr:rowOff>30480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E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18</xdr:row>
          <xdr:rowOff>182880</xdr:rowOff>
        </xdr:from>
        <xdr:to>
          <xdr:col>3</xdr:col>
          <xdr:colOff>68580</xdr:colOff>
          <xdr:row>20</xdr:row>
          <xdr:rowOff>30480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E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6</xdr:row>
          <xdr:rowOff>182880</xdr:rowOff>
        </xdr:from>
        <xdr:to>
          <xdr:col>3</xdr:col>
          <xdr:colOff>76200</xdr:colOff>
          <xdr:row>8</xdr:row>
          <xdr:rowOff>30480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E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19</xdr:row>
          <xdr:rowOff>182880</xdr:rowOff>
        </xdr:from>
        <xdr:to>
          <xdr:col>2</xdr:col>
          <xdr:colOff>259080</xdr:colOff>
          <xdr:row>21</xdr:row>
          <xdr:rowOff>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E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21</xdr:row>
          <xdr:rowOff>0</xdr:rowOff>
        </xdr:from>
        <xdr:to>
          <xdr:col>3</xdr:col>
          <xdr:colOff>30480</xdr:colOff>
          <xdr:row>21</xdr:row>
          <xdr:rowOff>182880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E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8</xdr:row>
          <xdr:rowOff>182880</xdr:rowOff>
        </xdr:from>
        <xdr:to>
          <xdr:col>6</xdr:col>
          <xdr:colOff>0</xdr:colOff>
          <xdr:row>12</xdr:row>
          <xdr:rowOff>0</xdr:rowOff>
        </xdr:to>
        <xdr:sp macro="" textlink="">
          <xdr:nvSpPr>
            <xdr:cNvPr id="3094" name="Group Box 22" hidden="1">
              <a:extLst>
                <a:ext uri="{63B3BB69-23CF-44E3-9099-C40C66FF867C}">
                  <a14:compatExt spid="_x0000_s3094"/>
                </a:ext>
                <a:ext uri="{FF2B5EF4-FFF2-40B4-BE49-F238E27FC236}">
                  <a16:creationId xmlns:a16="http://schemas.microsoft.com/office/drawing/2014/main" id="{00000000-0008-0000-0E00-000016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Ensayo temperatura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9</xdr:row>
          <xdr:rowOff>38100</xdr:rowOff>
        </xdr:from>
        <xdr:to>
          <xdr:col>4</xdr:col>
          <xdr:colOff>2468880</xdr:colOff>
          <xdr:row>10</xdr:row>
          <xdr:rowOff>144780</xdr:rowOff>
        </xdr:to>
        <xdr:sp macro="" textlink="">
          <xdr:nvSpPr>
            <xdr:cNvPr id="3096" name="Option Button 24" hidden="1">
              <a:extLst>
                <a:ext uri="{63B3BB69-23CF-44E3-9099-C40C66FF867C}">
                  <a14:compatExt spid="_x0000_s3096"/>
                </a:ext>
                <a:ext uri="{FF2B5EF4-FFF2-40B4-BE49-F238E27FC236}">
                  <a16:creationId xmlns:a16="http://schemas.microsoft.com/office/drawing/2014/main" id="{00000000-0008-0000-0E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EQ-CERT-002 Walk-in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10</xdr:row>
          <xdr:rowOff>114300</xdr:rowOff>
        </xdr:from>
        <xdr:to>
          <xdr:col>4</xdr:col>
          <xdr:colOff>2506980</xdr:colOff>
          <xdr:row>11</xdr:row>
          <xdr:rowOff>152400</xdr:rowOff>
        </xdr:to>
        <xdr:sp macro="" textlink="">
          <xdr:nvSpPr>
            <xdr:cNvPr id="3097" name="Option Button 25" hidden="1">
              <a:extLst>
                <a:ext uri="{63B3BB69-23CF-44E3-9099-C40C66FF867C}">
                  <a14:compatExt spid="_x0000_s3097"/>
                </a:ext>
                <a:ext uri="{FF2B5EF4-FFF2-40B4-BE49-F238E27FC236}">
                  <a16:creationId xmlns:a16="http://schemas.microsoft.com/office/drawing/2014/main" id="{00000000-0008-0000-0E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EQ-CERT-001 Climática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182880</xdr:rowOff>
        </xdr:from>
        <xdr:to>
          <xdr:col>6</xdr:col>
          <xdr:colOff>30480</xdr:colOff>
          <xdr:row>15</xdr:row>
          <xdr:rowOff>30480</xdr:rowOff>
        </xdr:to>
        <xdr:sp macro="" textlink="">
          <xdr:nvSpPr>
            <xdr:cNvPr id="3098" name="Group Box 26" hidden="1">
              <a:extLst>
                <a:ext uri="{63B3BB69-23CF-44E3-9099-C40C66FF867C}">
                  <a14:compatExt spid="_x0000_s3098"/>
                </a:ext>
                <a:ext uri="{FF2B5EF4-FFF2-40B4-BE49-F238E27FC236}">
                  <a16:creationId xmlns:a16="http://schemas.microsoft.com/office/drawing/2014/main" id="{00000000-0008-0000-0E00-00001A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12</xdr:row>
          <xdr:rowOff>144780</xdr:rowOff>
        </xdr:from>
        <xdr:to>
          <xdr:col>4</xdr:col>
          <xdr:colOff>1287780</xdr:colOff>
          <xdr:row>14</xdr:row>
          <xdr:rowOff>68580</xdr:rowOff>
        </xdr:to>
        <xdr:sp macro="" textlink="">
          <xdr:nvSpPr>
            <xdr:cNvPr id="3099" name="Option Button 27" hidden="1">
              <a:extLst>
                <a:ext uri="{63B3BB69-23CF-44E3-9099-C40C66FF867C}">
                  <a14:compatExt spid="_x0000_s3099"/>
                </a:ext>
                <a:ext uri="{FF2B5EF4-FFF2-40B4-BE49-F238E27FC236}">
                  <a16:creationId xmlns:a16="http://schemas.microsoft.com/office/drawing/2014/main" id="{00000000-0008-0000-0E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ELABO EQ-CERT-150 opción 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13</xdr:row>
          <xdr:rowOff>182880</xdr:rowOff>
        </xdr:from>
        <xdr:to>
          <xdr:col>4</xdr:col>
          <xdr:colOff>1211580</xdr:colOff>
          <xdr:row>15</xdr:row>
          <xdr:rowOff>30480</xdr:rowOff>
        </xdr:to>
        <xdr:sp macro="" textlink="">
          <xdr:nvSpPr>
            <xdr:cNvPr id="3100" name="Option Button 28" hidden="1">
              <a:extLst>
                <a:ext uri="{63B3BB69-23CF-44E3-9099-C40C66FF867C}">
                  <a14:compatExt spid="_x0000_s3100"/>
                </a:ext>
                <a:ext uri="{FF2B5EF4-FFF2-40B4-BE49-F238E27FC236}">
                  <a16:creationId xmlns:a16="http://schemas.microsoft.com/office/drawing/2014/main" id="{00000000-0008-0000-0E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CHROMA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15</xdr:row>
          <xdr:rowOff>0</xdr:rowOff>
        </xdr:from>
        <xdr:to>
          <xdr:col>6</xdr:col>
          <xdr:colOff>0</xdr:colOff>
          <xdr:row>18</xdr:row>
          <xdr:rowOff>30480</xdr:rowOff>
        </xdr:to>
        <xdr:sp macro="" textlink="">
          <xdr:nvSpPr>
            <xdr:cNvPr id="3101" name="Group Box 29" hidden="1">
              <a:extLst>
                <a:ext uri="{63B3BB69-23CF-44E3-9099-C40C66FF867C}">
                  <a14:compatExt spid="_x0000_s3101"/>
                </a:ext>
                <a:ext uri="{FF2B5EF4-FFF2-40B4-BE49-F238E27FC236}">
                  <a16:creationId xmlns:a16="http://schemas.microsoft.com/office/drawing/2014/main" id="{00000000-0008-0000-0E00-00001D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15</xdr:row>
          <xdr:rowOff>182880</xdr:rowOff>
        </xdr:from>
        <xdr:to>
          <xdr:col>4</xdr:col>
          <xdr:colOff>2887980</xdr:colOff>
          <xdr:row>16</xdr:row>
          <xdr:rowOff>182880</xdr:rowOff>
        </xdr:to>
        <xdr:sp macro="" textlink="">
          <xdr:nvSpPr>
            <xdr:cNvPr id="3102" name="Option Button 30" hidden="1">
              <a:extLst>
                <a:ext uri="{63B3BB69-23CF-44E3-9099-C40C66FF867C}">
                  <a14:compatExt spid="_x0000_s3102"/>
                </a:ext>
                <a:ext uri="{FF2B5EF4-FFF2-40B4-BE49-F238E27FC236}">
                  <a16:creationId xmlns:a16="http://schemas.microsoft.com/office/drawing/2014/main" id="{00000000-0008-0000-0E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Resistencia de aislamientos EQ-CERT-150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16</xdr:row>
          <xdr:rowOff>152400</xdr:rowOff>
        </xdr:from>
        <xdr:to>
          <xdr:col>5</xdr:col>
          <xdr:colOff>182880</xdr:colOff>
          <xdr:row>17</xdr:row>
          <xdr:rowOff>182880</xdr:rowOff>
        </xdr:to>
        <xdr:sp macro="" textlink="">
          <xdr:nvSpPr>
            <xdr:cNvPr id="3103" name="Option Button 31" hidden="1">
              <a:extLst>
                <a:ext uri="{63B3BB69-23CF-44E3-9099-C40C66FF867C}">
                  <a14:compatExt spid="_x0000_s3103"/>
                </a:ext>
                <a:ext uri="{FF2B5EF4-FFF2-40B4-BE49-F238E27FC236}">
                  <a16:creationId xmlns:a16="http://schemas.microsoft.com/office/drawing/2014/main" id="{00000000-0008-0000-0E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Resistencia de aislamientos EQ-CERT-044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21</xdr:row>
          <xdr:rowOff>144780</xdr:rowOff>
        </xdr:from>
        <xdr:to>
          <xdr:col>4</xdr:col>
          <xdr:colOff>76200</xdr:colOff>
          <xdr:row>23</xdr:row>
          <xdr:rowOff>30480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E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22</xdr:row>
          <xdr:rowOff>182880</xdr:rowOff>
        </xdr:from>
        <xdr:to>
          <xdr:col>3</xdr:col>
          <xdr:colOff>68580</xdr:colOff>
          <xdr:row>24</xdr:row>
          <xdr:rowOff>30480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E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182880</xdr:rowOff>
        </xdr:from>
        <xdr:to>
          <xdr:col>3</xdr:col>
          <xdr:colOff>68580</xdr:colOff>
          <xdr:row>31</xdr:row>
          <xdr:rowOff>30480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E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182880</xdr:rowOff>
        </xdr:from>
        <xdr:to>
          <xdr:col>3</xdr:col>
          <xdr:colOff>68580</xdr:colOff>
          <xdr:row>32</xdr:row>
          <xdr:rowOff>30480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E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24</xdr:row>
          <xdr:rowOff>0</xdr:rowOff>
        </xdr:from>
        <xdr:to>
          <xdr:col>6</xdr:col>
          <xdr:colOff>30480</xdr:colOff>
          <xdr:row>29</xdr:row>
          <xdr:rowOff>0</xdr:rowOff>
        </xdr:to>
        <xdr:sp macro="" textlink="">
          <xdr:nvSpPr>
            <xdr:cNvPr id="3109" name="Group Box 37" hidden="1">
              <a:extLst>
                <a:ext uri="{63B3BB69-23CF-44E3-9099-C40C66FF867C}">
                  <a14:compatExt spid="_x0000_s3109"/>
                </a:ext>
                <a:ext uri="{FF2B5EF4-FFF2-40B4-BE49-F238E27FC236}">
                  <a16:creationId xmlns:a16="http://schemas.microsoft.com/office/drawing/2014/main" id="{00000000-0008-0000-0E00-000025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Ensayo de temperatura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25</xdr:row>
          <xdr:rowOff>114300</xdr:rowOff>
        </xdr:from>
        <xdr:to>
          <xdr:col>4</xdr:col>
          <xdr:colOff>2392680</xdr:colOff>
          <xdr:row>26</xdr:row>
          <xdr:rowOff>182880</xdr:rowOff>
        </xdr:to>
        <xdr:sp macro="" textlink="">
          <xdr:nvSpPr>
            <xdr:cNvPr id="3110" name="Option Button 38" hidden="1">
              <a:extLst>
                <a:ext uri="{63B3BB69-23CF-44E3-9099-C40C66FF867C}">
                  <a14:compatExt spid="_x0000_s3110"/>
                </a:ext>
                <a:ext uri="{FF2B5EF4-FFF2-40B4-BE49-F238E27FC236}">
                  <a16:creationId xmlns:a16="http://schemas.microsoft.com/office/drawing/2014/main" id="{00000000-0008-0000-0E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EQ-CERT-005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27</xdr:row>
          <xdr:rowOff>0</xdr:rowOff>
        </xdr:from>
        <xdr:to>
          <xdr:col>4</xdr:col>
          <xdr:colOff>2621280</xdr:colOff>
          <xdr:row>27</xdr:row>
          <xdr:rowOff>182880</xdr:rowOff>
        </xdr:to>
        <xdr:sp macro="" textlink="">
          <xdr:nvSpPr>
            <xdr:cNvPr id="3111" name="Option Button 39" hidden="1">
              <a:extLst>
                <a:ext uri="{63B3BB69-23CF-44E3-9099-C40C66FF867C}">
                  <a14:compatExt spid="_x0000_s3111"/>
                </a:ext>
                <a:ext uri="{FF2B5EF4-FFF2-40B4-BE49-F238E27FC236}">
                  <a16:creationId xmlns:a16="http://schemas.microsoft.com/office/drawing/2014/main" id="{00000000-0008-0000-0E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climática EQ-CERT-001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32</xdr:row>
          <xdr:rowOff>0</xdr:rowOff>
        </xdr:from>
        <xdr:to>
          <xdr:col>4</xdr:col>
          <xdr:colOff>685800</xdr:colOff>
          <xdr:row>33</xdr:row>
          <xdr:rowOff>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E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38</xdr:row>
          <xdr:rowOff>182880</xdr:rowOff>
        </xdr:from>
        <xdr:to>
          <xdr:col>3</xdr:col>
          <xdr:colOff>106680</xdr:colOff>
          <xdr:row>40</xdr:row>
          <xdr:rowOff>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E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47</xdr:row>
          <xdr:rowOff>0</xdr:rowOff>
        </xdr:from>
        <xdr:to>
          <xdr:col>4</xdr:col>
          <xdr:colOff>1524000</xdr:colOff>
          <xdr:row>47</xdr:row>
          <xdr:rowOff>182880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E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40</xdr:row>
          <xdr:rowOff>30480</xdr:rowOff>
        </xdr:from>
        <xdr:to>
          <xdr:col>6</xdr:col>
          <xdr:colOff>30480</xdr:colOff>
          <xdr:row>42</xdr:row>
          <xdr:rowOff>182880</xdr:rowOff>
        </xdr:to>
        <xdr:sp macro="" textlink="">
          <xdr:nvSpPr>
            <xdr:cNvPr id="3115" name="Group Box 43" hidden="1">
              <a:extLst>
                <a:ext uri="{63B3BB69-23CF-44E3-9099-C40C66FF867C}">
                  <a14:compatExt spid="_x0000_s3115"/>
                </a:ext>
                <a:ext uri="{FF2B5EF4-FFF2-40B4-BE49-F238E27FC236}">
                  <a16:creationId xmlns:a16="http://schemas.microsoft.com/office/drawing/2014/main" id="{00000000-0008-0000-0E00-00002B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Rigidez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40</xdr:row>
          <xdr:rowOff>152400</xdr:rowOff>
        </xdr:from>
        <xdr:to>
          <xdr:col>4</xdr:col>
          <xdr:colOff>1706880</xdr:colOff>
          <xdr:row>41</xdr:row>
          <xdr:rowOff>144780</xdr:rowOff>
        </xdr:to>
        <xdr:sp macro="" textlink="">
          <xdr:nvSpPr>
            <xdr:cNvPr id="3116" name="Option Button 44" hidden="1">
              <a:extLst>
                <a:ext uri="{63B3BB69-23CF-44E3-9099-C40C66FF867C}">
                  <a14:compatExt spid="_x0000_s3116"/>
                </a:ext>
                <a:ext uri="{FF2B5EF4-FFF2-40B4-BE49-F238E27FC236}">
                  <a16:creationId xmlns:a16="http://schemas.microsoft.com/office/drawing/2014/main" id="{00000000-0008-0000-0E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Rigidez dieléctricaEQ-CERT-044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41</xdr:row>
          <xdr:rowOff>144780</xdr:rowOff>
        </xdr:from>
        <xdr:to>
          <xdr:col>4</xdr:col>
          <xdr:colOff>2773680</xdr:colOff>
          <xdr:row>42</xdr:row>
          <xdr:rowOff>144780</xdr:rowOff>
        </xdr:to>
        <xdr:sp macro="" textlink="">
          <xdr:nvSpPr>
            <xdr:cNvPr id="3117" name="Option Button 45" hidden="1">
              <a:extLst>
                <a:ext uri="{63B3BB69-23CF-44E3-9099-C40C66FF867C}">
                  <a14:compatExt spid="_x0000_s3117"/>
                </a:ext>
                <a:ext uri="{FF2B5EF4-FFF2-40B4-BE49-F238E27FC236}">
                  <a16:creationId xmlns:a16="http://schemas.microsoft.com/office/drawing/2014/main" id="{00000000-0008-0000-0E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Rigidez dieléctrica EQ-CERT-150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43</xdr:row>
          <xdr:rowOff>0</xdr:rowOff>
        </xdr:from>
        <xdr:to>
          <xdr:col>6</xdr:col>
          <xdr:colOff>30480</xdr:colOff>
          <xdr:row>45</xdr:row>
          <xdr:rowOff>182880</xdr:rowOff>
        </xdr:to>
        <xdr:sp macro="" textlink="">
          <xdr:nvSpPr>
            <xdr:cNvPr id="3118" name="Group Box 46" hidden="1">
              <a:extLst>
                <a:ext uri="{63B3BB69-23CF-44E3-9099-C40C66FF867C}">
                  <a14:compatExt spid="_x0000_s3118"/>
                </a:ext>
                <a:ext uri="{FF2B5EF4-FFF2-40B4-BE49-F238E27FC236}">
                  <a16:creationId xmlns:a16="http://schemas.microsoft.com/office/drawing/2014/main" id="{00000000-0008-0000-0E00-00002E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Resistencia aislamiento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43</xdr:row>
          <xdr:rowOff>106680</xdr:rowOff>
        </xdr:from>
        <xdr:to>
          <xdr:col>4</xdr:col>
          <xdr:colOff>2545080</xdr:colOff>
          <xdr:row>44</xdr:row>
          <xdr:rowOff>106680</xdr:rowOff>
        </xdr:to>
        <xdr:sp macro="" textlink="">
          <xdr:nvSpPr>
            <xdr:cNvPr id="3119" name="Option Button 47" hidden="1">
              <a:extLst>
                <a:ext uri="{63B3BB69-23CF-44E3-9099-C40C66FF867C}">
                  <a14:compatExt spid="_x0000_s3119"/>
                </a:ext>
                <a:ext uri="{FF2B5EF4-FFF2-40B4-BE49-F238E27FC236}">
                  <a16:creationId xmlns:a16="http://schemas.microsoft.com/office/drawing/2014/main" id="{00000000-0008-0000-0E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resistencia de aislamito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44</xdr:row>
          <xdr:rowOff>144780</xdr:rowOff>
        </xdr:from>
        <xdr:to>
          <xdr:col>5</xdr:col>
          <xdr:colOff>525780</xdr:colOff>
          <xdr:row>45</xdr:row>
          <xdr:rowOff>182880</xdr:rowOff>
        </xdr:to>
        <xdr:sp macro="" textlink="">
          <xdr:nvSpPr>
            <xdr:cNvPr id="3120" name="Option Button 48" hidden="1">
              <a:extLst>
                <a:ext uri="{63B3BB69-23CF-44E3-9099-C40C66FF867C}">
                  <a14:compatExt spid="_x0000_s3120"/>
                </a:ext>
                <a:ext uri="{FF2B5EF4-FFF2-40B4-BE49-F238E27FC236}">
                  <a16:creationId xmlns:a16="http://schemas.microsoft.com/office/drawing/2014/main" id="{00000000-0008-0000-0E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resistnecia de aislamiento EQ-CERT-196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182880</xdr:rowOff>
        </xdr:from>
        <xdr:to>
          <xdr:col>2</xdr:col>
          <xdr:colOff>68580</xdr:colOff>
          <xdr:row>49</xdr:row>
          <xdr:rowOff>30480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E00-00003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49</xdr:row>
          <xdr:rowOff>30480</xdr:rowOff>
        </xdr:from>
        <xdr:to>
          <xdr:col>6</xdr:col>
          <xdr:colOff>0</xdr:colOff>
          <xdr:row>54</xdr:row>
          <xdr:rowOff>30480</xdr:rowOff>
        </xdr:to>
        <xdr:sp macro="" textlink="">
          <xdr:nvSpPr>
            <xdr:cNvPr id="3122" name="Group Box 50" hidden="1">
              <a:extLst>
                <a:ext uri="{63B3BB69-23CF-44E3-9099-C40C66FF867C}">
                  <a14:compatExt spid="_x0000_s3122"/>
                </a:ext>
                <a:ext uri="{FF2B5EF4-FFF2-40B4-BE49-F238E27FC236}">
                  <a16:creationId xmlns:a16="http://schemas.microsoft.com/office/drawing/2014/main" id="{00000000-0008-0000-0E00-000032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Medida multímetro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49</xdr:row>
          <xdr:rowOff>182880</xdr:rowOff>
        </xdr:from>
        <xdr:to>
          <xdr:col>4</xdr:col>
          <xdr:colOff>2286000</xdr:colOff>
          <xdr:row>51</xdr:row>
          <xdr:rowOff>30480</xdr:rowOff>
        </xdr:to>
        <xdr:sp macro="" textlink="">
          <xdr:nvSpPr>
            <xdr:cNvPr id="3123" name="Option Button 51" hidden="1">
              <a:extLst>
                <a:ext uri="{63B3BB69-23CF-44E3-9099-C40C66FF867C}">
                  <a14:compatExt spid="_x0000_s3123"/>
                </a:ext>
                <a:ext uri="{FF2B5EF4-FFF2-40B4-BE49-F238E27FC236}">
                  <a16:creationId xmlns:a16="http://schemas.microsoft.com/office/drawing/2014/main" id="{00000000-0008-0000-0E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PCE EQ-CERT-151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51</xdr:row>
          <xdr:rowOff>68580</xdr:rowOff>
        </xdr:from>
        <xdr:to>
          <xdr:col>4</xdr:col>
          <xdr:colOff>2316480</xdr:colOff>
          <xdr:row>52</xdr:row>
          <xdr:rowOff>106680</xdr:rowOff>
        </xdr:to>
        <xdr:sp macro="" textlink="">
          <xdr:nvSpPr>
            <xdr:cNvPr id="3124" name="Option Button 52" hidden="1">
              <a:extLst>
                <a:ext uri="{63B3BB69-23CF-44E3-9099-C40C66FF867C}">
                  <a14:compatExt spid="_x0000_s3124"/>
                </a:ext>
                <a:ext uri="{FF2B5EF4-FFF2-40B4-BE49-F238E27FC236}">
                  <a16:creationId xmlns:a16="http://schemas.microsoft.com/office/drawing/2014/main" id="{00000000-0008-0000-0E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Fluke EQ-CERT-240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52</xdr:row>
          <xdr:rowOff>106680</xdr:rowOff>
        </xdr:from>
        <xdr:to>
          <xdr:col>5</xdr:col>
          <xdr:colOff>792480</xdr:colOff>
          <xdr:row>53</xdr:row>
          <xdr:rowOff>182880</xdr:rowOff>
        </xdr:to>
        <xdr:sp macro="" textlink="">
          <xdr:nvSpPr>
            <xdr:cNvPr id="3125" name="Option Button 53" hidden="1">
              <a:extLst>
                <a:ext uri="{63B3BB69-23CF-44E3-9099-C40C66FF867C}">
                  <a14:compatExt spid="_x0000_s3125"/>
                </a:ext>
                <a:ext uri="{FF2B5EF4-FFF2-40B4-BE49-F238E27FC236}">
                  <a16:creationId xmlns:a16="http://schemas.microsoft.com/office/drawing/2014/main" id="{00000000-0008-0000-0E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Multímetro/Pinza UNI-T EQ-CERT-152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56</xdr:row>
          <xdr:rowOff>0</xdr:rowOff>
        </xdr:from>
        <xdr:to>
          <xdr:col>6</xdr:col>
          <xdr:colOff>0</xdr:colOff>
          <xdr:row>59</xdr:row>
          <xdr:rowOff>182880</xdr:rowOff>
        </xdr:to>
        <xdr:sp macro="" textlink="">
          <xdr:nvSpPr>
            <xdr:cNvPr id="3126" name="Group Box 54" hidden="1">
              <a:extLst>
                <a:ext uri="{63B3BB69-23CF-44E3-9099-C40C66FF867C}">
                  <a14:compatExt spid="_x0000_s3126"/>
                </a:ext>
                <a:ext uri="{FF2B5EF4-FFF2-40B4-BE49-F238E27FC236}">
                  <a16:creationId xmlns:a16="http://schemas.microsoft.com/office/drawing/2014/main" id="{00000000-0008-0000-0E00-000036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Resistencia de aislamiento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56</xdr:row>
          <xdr:rowOff>182880</xdr:rowOff>
        </xdr:from>
        <xdr:to>
          <xdr:col>5</xdr:col>
          <xdr:colOff>30480</xdr:colOff>
          <xdr:row>58</xdr:row>
          <xdr:rowOff>30480</xdr:rowOff>
        </xdr:to>
        <xdr:sp macro="" textlink="">
          <xdr:nvSpPr>
            <xdr:cNvPr id="3127" name="Option Button 55" hidden="1">
              <a:extLst>
                <a:ext uri="{63B3BB69-23CF-44E3-9099-C40C66FF867C}">
                  <a14:compatExt spid="_x0000_s3127"/>
                </a:ext>
                <a:ext uri="{FF2B5EF4-FFF2-40B4-BE49-F238E27FC236}">
                  <a16:creationId xmlns:a16="http://schemas.microsoft.com/office/drawing/2014/main" id="{00000000-0008-0000-0E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resistencia de aislamiento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58</xdr:row>
          <xdr:rowOff>0</xdr:rowOff>
        </xdr:from>
        <xdr:to>
          <xdr:col>5</xdr:col>
          <xdr:colOff>982980</xdr:colOff>
          <xdr:row>59</xdr:row>
          <xdr:rowOff>68580</xdr:rowOff>
        </xdr:to>
        <xdr:sp macro="" textlink="">
          <xdr:nvSpPr>
            <xdr:cNvPr id="3128" name="Option Button 56" hidden="1">
              <a:extLst>
                <a:ext uri="{63B3BB69-23CF-44E3-9099-C40C66FF867C}">
                  <a14:compatExt spid="_x0000_s3128"/>
                </a:ext>
                <a:ext uri="{FF2B5EF4-FFF2-40B4-BE49-F238E27FC236}">
                  <a16:creationId xmlns:a16="http://schemas.microsoft.com/office/drawing/2014/main" id="{00000000-0008-0000-0E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resistencia de aislamiento EQ-CERT-196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53</xdr:row>
          <xdr:rowOff>182880</xdr:rowOff>
        </xdr:from>
        <xdr:to>
          <xdr:col>2</xdr:col>
          <xdr:colOff>68580</xdr:colOff>
          <xdr:row>55</xdr:row>
          <xdr:rowOff>30480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E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54</xdr:row>
          <xdr:rowOff>182880</xdr:rowOff>
        </xdr:from>
        <xdr:to>
          <xdr:col>3</xdr:col>
          <xdr:colOff>76200</xdr:colOff>
          <xdr:row>56</xdr:row>
          <xdr:rowOff>30480</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E00-00003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59</xdr:row>
          <xdr:rowOff>182880</xdr:rowOff>
        </xdr:from>
        <xdr:to>
          <xdr:col>3</xdr:col>
          <xdr:colOff>68580</xdr:colOff>
          <xdr:row>61</xdr:row>
          <xdr:rowOff>30480</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E00-00003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61</xdr:row>
          <xdr:rowOff>30480</xdr:rowOff>
        </xdr:from>
        <xdr:to>
          <xdr:col>6</xdr:col>
          <xdr:colOff>30480</xdr:colOff>
          <xdr:row>65</xdr:row>
          <xdr:rowOff>0</xdr:rowOff>
        </xdr:to>
        <xdr:sp macro="" textlink="">
          <xdr:nvSpPr>
            <xdr:cNvPr id="3132" name="Group Box 60" hidden="1">
              <a:extLst>
                <a:ext uri="{63B3BB69-23CF-44E3-9099-C40C66FF867C}">
                  <a14:compatExt spid="_x0000_s3132"/>
                </a:ext>
                <a:ext uri="{FF2B5EF4-FFF2-40B4-BE49-F238E27FC236}">
                  <a16:creationId xmlns:a16="http://schemas.microsoft.com/office/drawing/2014/main" id="{00000000-0008-0000-0E00-00003C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Rigidez dieléctrica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62</xdr:row>
          <xdr:rowOff>0</xdr:rowOff>
        </xdr:from>
        <xdr:to>
          <xdr:col>5</xdr:col>
          <xdr:colOff>762000</xdr:colOff>
          <xdr:row>63</xdr:row>
          <xdr:rowOff>68580</xdr:rowOff>
        </xdr:to>
        <xdr:sp macro="" textlink="">
          <xdr:nvSpPr>
            <xdr:cNvPr id="3133" name="Option Button 61" hidden="1">
              <a:extLst>
                <a:ext uri="{63B3BB69-23CF-44E3-9099-C40C66FF867C}">
                  <a14:compatExt spid="_x0000_s3133"/>
                </a:ext>
                <a:ext uri="{FF2B5EF4-FFF2-40B4-BE49-F238E27FC236}">
                  <a16:creationId xmlns:a16="http://schemas.microsoft.com/office/drawing/2014/main" id="{00000000-0008-0000-0E00-00003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Rigidez dieléctrica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63</xdr:row>
          <xdr:rowOff>30480</xdr:rowOff>
        </xdr:from>
        <xdr:to>
          <xdr:col>5</xdr:col>
          <xdr:colOff>914400</xdr:colOff>
          <xdr:row>64</xdr:row>
          <xdr:rowOff>106680</xdr:rowOff>
        </xdr:to>
        <xdr:sp macro="" textlink="">
          <xdr:nvSpPr>
            <xdr:cNvPr id="3134" name="Option Button 62" hidden="1">
              <a:extLst>
                <a:ext uri="{63B3BB69-23CF-44E3-9099-C40C66FF867C}">
                  <a14:compatExt spid="_x0000_s3134"/>
                </a:ext>
                <a:ext uri="{FF2B5EF4-FFF2-40B4-BE49-F238E27FC236}">
                  <a16:creationId xmlns:a16="http://schemas.microsoft.com/office/drawing/2014/main" id="{00000000-0008-0000-0E00-00003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Rigidez dieléctrica EQ-CERT-159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64</xdr:row>
          <xdr:rowOff>182880</xdr:rowOff>
        </xdr:from>
        <xdr:to>
          <xdr:col>3</xdr:col>
          <xdr:colOff>68580</xdr:colOff>
          <xdr:row>66</xdr:row>
          <xdr:rowOff>30480</xdr:rowOff>
        </xdr:to>
        <xdr:sp macro="" textlink="">
          <xdr:nvSpPr>
            <xdr:cNvPr id="3135" name="Check Box 63" hidden="1">
              <a:extLst>
                <a:ext uri="{63B3BB69-23CF-44E3-9099-C40C66FF867C}">
                  <a14:compatExt spid="_x0000_s3135"/>
                </a:ext>
                <a:ext uri="{FF2B5EF4-FFF2-40B4-BE49-F238E27FC236}">
                  <a16:creationId xmlns:a16="http://schemas.microsoft.com/office/drawing/2014/main" id="{00000000-0008-0000-0E00-00003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66</xdr:row>
          <xdr:rowOff>0</xdr:rowOff>
        </xdr:from>
        <xdr:to>
          <xdr:col>6</xdr:col>
          <xdr:colOff>0</xdr:colOff>
          <xdr:row>70</xdr:row>
          <xdr:rowOff>0</xdr:rowOff>
        </xdr:to>
        <xdr:sp macro="" textlink="">
          <xdr:nvSpPr>
            <xdr:cNvPr id="3136" name="Group Box 64" hidden="1">
              <a:extLst>
                <a:ext uri="{63B3BB69-23CF-44E3-9099-C40C66FF867C}">
                  <a14:compatExt spid="_x0000_s3136"/>
                </a:ext>
                <a:ext uri="{FF2B5EF4-FFF2-40B4-BE49-F238E27FC236}">
                  <a16:creationId xmlns:a16="http://schemas.microsoft.com/office/drawing/2014/main" id="{00000000-0008-0000-0E00-000040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Corrientes de fuga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66</xdr:row>
          <xdr:rowOff>182880</xdr:rowOff>
        </xdr:from>
        <xdr:to>
          <xdr:col>5</xdr:col>
          <xdr:colOff>868680</xdr:colOff>
          <xdr:row>68</xdr:row>
          <xdr:rowOff>38100</xdr:rowOff>
        </xdr:to>
        <xdr:sp macro="" textlink="">
          <xdr:nvSpPr>
            <xdr:cNvPr id="3137" name="Option Button 65" hidden="1">
              <a:extLst>
                <a:ext uri="{63B3BB69-23CF-44E3-9099-C40C66FF867C}">
                  <a14:compatExt spid="_x0000_s3137"/>
                </a:ext>
                <a:ext uri="{FF2B5EF4-FFF2-40B4-BE49-F238E27FC236}">
                  <a16:creationId xmlns:a16="http://schemas.microsoft.com/office/drawing/2014/main" id="{00000000-0008-0000-0E00-00004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EQ-CERT-042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68</xdr:row>
          <xdr:rowOff>38100</xdr:rowOff>
        </xdr:from>
        <xdr:to>
          <xdr:col>5</xdr:col>
          <xdr:colOff>914400</xdr:colOff>
          <xdr:row>69</xdr:row>
          <xdr:rowOff>106680</xdr:rowOff>
        </xdr:to>
        <xdr:sp macro="" textlink="">
          <xdr:nvSpPr>
            <xdr:cNvPr id="3138" name="Option Button 66" hidden="1">
              <a:extLst>
                <a:ext uri="{63B3BB69-23CF-44E3-9099-C40C66FF867C}">
                  <a14:compatExt spid="_x0000_s3138"/>
                </a:ext>
                <a:ext uri="{FF2B5EF4-FFF2-40B4-BE49-F238E27FC236}">
                  <a16:creationId xmlns:a16="http://schemas.microsoft.com/office/drawing/2014/main" id="{00000000-0008-0000-0E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LUM Clase I portátiles EQ-CERT-043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70</xdr:row>
          <xdr:rowOff>182880</xdr:rowOff>
        </xdr:from>
        <xdr:to>
          <xdr:col>4</xdr:col>
          <xdr:colOff>190500</xdr:colOff>
          <xdr:row>72</xdr:row>
          <xdr:rowOff>68580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E00-00004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72</xdr:row>
          <xdr:rowOff>0</xdr:rowOff>
        </xdr:from>
        <xdr:to>
          <xdr:col>2</xdr:col>
          <xdr:colOff>68580</xdr:colOff>
          <xdr:row>73</xdr:row>
          <xdr:rowOff>30480</xdr:rowOff>
        </xdr:to>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E00-00004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73</xdr:row>
          <xdr:rowOff>0</xdr:rowOff>
        </xdr:from>
        <xdr:to>
          <xdr:col>6</xdr:col>
          <xdr:colOff>0</xdr:colOff>
          <xdr:row>79</xdr:row>
          <xdr:rowOff>0</xdr:rowOff>
        </xdr:to>
        <xdr:sp macro="" textlink="">
          <xdr:nvSpPr>
            <xdr:cNvPr id="3141" name="Group Box 69" hidden="1">
              <a:extLst>
                <a:ext uri="{63B3BB69-23CF-44E3-9099-C40C66FF867C}">
                  <a14:compatExt spid="_x0000_s3141"/>
                </a:ext>
                <a:ext uri="{FF2B5EF4-FFF2-40B4-BE49-F238E27FC236}">
                  <a16:creationId xmlns:a16="http://schemas.microsoft.com/office/drawing/2014/main" id="{00000000-0008-0000-0E00-000045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Cámara panelable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74</xdr:row>
          <xdr:rowOff>0</xdr:rowOff>
        </xdr:from>
        <xdr:to>
          <xdr:col>4</xdr:col>
          <xdr:colOff>2583180</xdr:colOff>
          <xdr:row>75</xdr:row>
          <xdr:rowOff>30480</xdr:rowOff>
        </xdr:to>
        <xdr:sp macro="" textlink="">
          <xdr:nvSpPr>
            <xdr:cNvPr id="3142" name="Option Button 70" hidden="1">
              <a:extLst>
                <a:ext uri="{63B3BB69-23CF-44E3-9099-C40C66FF867C}">
                  <a14:compatExt spid="_x0000_s3142"/>
                </a:ext>
                <a:ext uri="{FF2B5EF4-FFF2-40B4-BE49-F238E27FC236}">
                  <a16:creationId xmlns:a16="http://schemas.microsoft.com/office/drawing/2014/main" id="{00000000-0008-0000-0E00-00004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panelable EQ-CERT-002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75</xdr:row>
          <xdr:rowOff>68580</xdr:rowOff>
        </xdr:from>
        <xdr:to>
          <xdr:col>4</xdr:col>
          <xdr:colOff>1744980</xdr:colOff>
          <xdr:row>76</xdr:row>
          <xdr:rowOff>76200</xdr:rowOff>
        </xdr:to>
        <xdr:sp macro="" textlink="">
          <xdr:nvSpPr>
            <xdr:cNvPr id="3143" name="Option Button 71" hidden="1">
              <a:extLst>
                <a:ext uri="{63B3BB69-23CF-44E3-9099-C40C66FF867C}">
                  <a14:compatExt spid="_x0000_s3143"/>
                </a:ext>
                <a:ext uri="{FF2B5EF4-FFF2-40B4-BE49-F238E27FC236}">
                  <a16:creationId xmlns:a16="http://schemas.microsoft.com/office/drawing/2014/main" id="{00000000-0008-0000-0E00-00004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panelable EQ-CERT-175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76</xdr:row>
          <xdr:rowOff>106680</xdr:rowOff>
        </xdr:from>
        <xdr:to>
          <xdr:col>4</xdr:col>
          <xdr:colOff>2430780</xdr:colOff>
          <xdr:row>77</xdr:row>
          <xdr:rowOff>182880</xdr:rowOff>
        </xdr:to>
        <xdr:sp macro="" textlink="">
          <xdr:nvSpPr>
            <xdr:cNvPr id="3144" name="Option Button 72" hidden="1">
              <a:extLst>
                <a:ext uri="{63B3BB69-23CF-44E3-9099-C40C66FF867C}">
                  <a14:compatExt spid="_x0000_s3144"/>
                </a:ext>
                <a:ext uri="{FF2B5EF4-FFF2-40B4-BE49-F238E27FC236}">
                  <a16:creationId xmlns:a16="http://schemas.microsoft.com/office/drawing/2014/main" id="{00000000-0008-0000-0E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endurancias EQ-CERT-176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79</xdr:row>
          <xdr:rowOff>0</xdr:rowOff>
        </xdr:from>
        <xdr:to>
          <xdr:col>5</xdr:col>
          <xdr:colOff>1021080</xdr:colOff>
          <xdr:row>87</xdr:row>
          <xdr:rowOff>0</xdr:rowOff>
        </xdr:to>
        <xdr:sp macro="" textlink="">
          <xdr:nvSpPr>
            <xdr:cNvPr id="3145" name="Group Box 73" hidden="1">
              <a:extLst>
                <a:ext uri="{63B3BB69-23CF-44E3-9099-C40C66FF867C}">
                  <a14:compatExt spid="_x0000_s3145"/>
                </a:ext>
                <a:ext uri="{FF2B5EF4-FFF2-40B4-BE49-F238E27FC236}">
                  <a16:creationId xmlns:a16="http://schemas.microsoft.com/office/drawing/2014/main" id="{00000000-0008-0000-0E00-000049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Registradores de temperaturas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80</xdr:row>
          <xdr:rowOff>0</xdr:rowOff>
        </xdr:from>
        <xdr:to>
          <xdr:col>5</xdr:col>
          <xdr:colOff>754380</xdr:colOff>
          <xdr:row>81</xdr:row>
          <xdr:rowOff>68580</xdr:rowOff>
        </xdr:to>
        <xdr:sp macro="" textlink="">
          <xdr:nvSpPr>
            <xdr:cNvPr id="3146" name="Option Button 74" hidden="1">
              <a:extLst>
                <a:ext uri="{63B3BB69-23CF-44E3-9099-C40C66FF867C}">
                  <a14:compatExt spid="_x0000_s3146"/>
                </a:ext>
                <a:ext uri="{FF2B5EF4-FFF2-40B4-BE49-F238E27FC236}">
                  <a16:creationId xmlns:a16="http://schemas.microsoft.com/office/drawing/2014/main" id="{00000000-0008-0000-0E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temperatura 40 canales EQ-CERT-026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81</xdr:row>
          <xdr:rowOff>106680</xdr:rowOff>
        </xdr:from>
        <xdr:to>
          <xdr:col>4</xdr:col>
          <xdr:colOff>2583180</xdr:colOff>
          <xdr:row>82</xdr:row>
          <xdr:rowOff>144780</xdr:rowOff>
        </xdr:to>
        <xdr:sp macro="" textlink="">
          <xdr:nvSpPr>
            <xdr:cNvPr id="3147" name="Option Button 75" hidden="1">
              <a:extLst>
                <a:ext uri="{63B3BB69-23CF-44E3-9099-C40C66FF867C}">
                  <a14:compatExt spid="_x0000_s3147"/>
                </a:ext>
                <a:ext uri="{FF2B5EF4-FFF2-40B4-BE49-F238E27FC236}">
                  <a16:creationId xmlns:a16="http://schemas.microsoft.com/office/drawing/2014/main" id="{00000000-0008-0000-0E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temperatura 32 calanes EQ-CERT-027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82</xdr:row>
          <xdr:rowOff>182880</xdr:rowOff>
        </xdr:from>
        <xdr:to>
          <xdr:col>5</xdr:col>
          <xdr:colOff>182880</xdr:colOff>
          <xdr:row>84</xdr:row>
          <xdr:rowOff>30480</xdr:rowOff>
        </xdr:to>
        <xdr:sp macro="" textlink="">
          <xdr:nvSpPr>
            <xdr:cNvPr id="3148" name="Option Button 76" hidden="1">
              <a:extLst>
                <a:ext uri="{63B3BB69-23CF-44E3-9099-C40C66FF867C}">
                  <a14:compatExt spid="_x0000_s3148"/>
                </a:ext>
                <a:ext uri="{FF2B5EF4-FFF2-40B4-BE49-F238E27FC236}">
                  <a16:creationId xmlns:a16="http://schemas.microsoft.com/office/drawing/2014/main" id="{00000000-0008-0000-0E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Rregistrador 20 canales  Graphtec EQ-CERT-174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84</xdr:row>
          <xdr:rowOff>68580</xdr:rowOff>
        </xdr:from>
        <xdr:to>
          <xdr:col>5</xdr:col>
          <xdr:colOff>792480</xdr:colOff>
          <xdr:row>85</xdr:row>
          <xdr:rowOff>144780</xdr:rowOff>
        </xdr:to>
        <xdr:sp macro="" textlink="">
          <xdr:nvSpPr>
            <xdr:cNvPr id="3149" name="Option Button 77" hidden="1">
              <a:extLst>
                <a:ext uri="{63B3BB69-23CF-44E3-9099-C40C66FF867C}">
                  <a14:compatExt spid="_x0000_s3149"/>
                </a:ext>
                <a:ext uri="{FF2B5EF4-FFF2-40B4-BE49-F238E27FC236}">
                  <a16:creationId xmlns:a16="http://schemas.microsoft.com/office/drawing/2014/main" id="{00000000-0008-0000-0E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20 canales Graphtec (Maletín) EQ-CERT-279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87</xdr:row>
          <xdr:rowOff>182880</xdr:rowOff>
        </xdr:from>
        <xdr:to>
          <xdr:col>3</xdr:col>
          <xdr:colOff>106680</xdr:colOff>
          <xdr:row>89</xdr:row>
          <xdr:rowOff>30480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E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89</xdr:row>
          <xdr:rowOff>0</xdr:rowOff>
        </xdr:from>
        <xdr:to>
          <xdr:col>5</xdr:col>
          <xdr:colOff>1021080</xdr:colOff>
          <xdr:row>93</xdr:row>
          <xdr:rowOff>182880</xdr:rowOff>
        </xdr:to>
        <xdr:sp macro="" textlink="">
          <xdr:nvSpPr>
            <xdr:cNvPr id="3151" name="Group Box 79" hidden="1">
              <a:extLst>
                <a:ext uri="{63B3BB69-23CF-44E3-9099-C40C66FF867C}">
                  <a14:compatExt spid="_x0000_s3151"/>
                </a:ext>
                <a:ext uri="{FF2B5EF4-FFF2-40B4-BE49-F238E27FC236}">
                  <a16:creationId xmlns:a16="http://schemas.microsoft.com/office/drawing/2014/main" id="{00000000-0008-0000-0E00-00004F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Registradores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90</xdr:row>
          <xdr:rowOff>30480</xdr:rowOff>
        </xdr:from>
        <xdr:to>
          <xdr:col>4</xdr:col>
          <xdr:colOff>2240280</xdr:colOff>
          <xdr:row>91</xdr:row>
          <xdr:rowOff>68580</xdr:rowOff>
        </xdr:to>
        <xdr:sp macro="" textlink="">
          <xdr:nvSpPr>
            <xdr:cNvPr id="3152" name="Option Button 80" hidden="1">
              <a:extLst>
                <a:ext uri="{63B3BB69-23CF-44E3-9099-C40C66FF867C}">
                  <a14:compatExt spid="_x0000_s3152"/>
                </a:ext>
                <a:ext uri="{FF2B5EF4-FFF2-40B4-BE49-F238E27FC236}">
                  <a16:creationId xmlns:a16="http://schemas.microsoft.com/office/drawing/2014/main" id="{00000000-0008-0000-0E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EQ-CERT-027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91</xdr:row>
          <xdr:rowOff>38100</xdr:rowOff>
        </xdr:from>
        <xdr:to>
          <xdr:col>4</xdr:col>
          <xdr:colOff>2659380</xdr:colOff>
          <xdr:row>92</xdr:row>
          <xdr:rowOff>68580</xdr:rowOff>
        </xdr:to>
        <xdr:sp macro="" textlink="">
          <xdr:nvSpPr>
            <xdr:cNvPr id="3153" name="Option Button 81" hidden="1">
              <a:extLst>
                <a:ext uri="{63B3BB69-23CF-44E3-9099-C40C66FF867C}">
                  <a14:compatExt spid="_x0000_s3153"/>
                </a:ext>
                <a:ext uri="{FF2B5EF4-FFF2-40B4-BE49-F238E27FC236}">
                  <a16:creationId xmlns:a16="http://schemas.microsoft.com/office/drawing/2014/main" id="{00000000-0008-0000-0E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20 canales Graphtec EQ-CERT-174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92</xdr:row>
          <xdr:rowOff>68580</xdr:rowOff>
        </xdr:from>
        <xdr:to>
          <xdr:col>4</xdr:col>
          <xdr:colOff>2735580</xdr:colOff>
          <xdr:row>93</xdr:row>
          <xdr:rowOff>106680</xdr:rowOff>
        </xdr:to>
        <xdr:sp macro="" textlink="">
          <xdr:nvSpPr>
            <xdr:cNvPr id="3154" name="Option Button 82" hidden="1">
              <a:extLst>
                <a:ext uri="{63B3BB69-23CF-44E3-9099-C40C66FF867C}">
                  <a14:compatExt spid="_x0000_s3154"/>
                </a:ext>
                <a:ext uri="{FF2B5EF4-FFF2-40B4-BE49-F238E27FC236}">
                  <a16:creationId xmlns:a16="http://schemas.microsoft.com/office/drawing/2014/main" id="{00000000-0008-0000-0E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20 canales Graphtec (Maletín) EQ-CERT-279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86</xdr:row>
          <xdr:rowOff>182880</xdr:rowOff>
        </xdr:from>
        <xdr:to>
          <xdr:col>2</xdr:col>
          <xdr:colOff>68580</xdr:colOff>
          <xdr:row>88</xdr:row>
          <xdr:rowOff>30480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E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93</xdr:row>
          <xdr:rowOff>182880</xdr:rowOff>
        </xdr:from>
        <xdr:to>
          <xdr:col>3</xdr:col>
          <xdr:colOff>76200</xdr:colOff>
          <xdr:row>95</xdr:row>
          <xdr:rowOff>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E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94</xdr:row>
          <xdr:rowOff>182880</xdr:rowOff>
        </xdr:from>
        <xdr:to>
          <xdr:col>2</xdr:col>
          <xdr:colOff>68580</xdr:colOff>
          <xdr:row>96</xdr:row>
          <xdr:rowOff>30480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E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95</xdr:row>
          <xdr:rowOff>182880</xdr:rowOff>
        </xdr:from>
        <xdr:to>
          <xdr:col>6</xdr:col>
          <xdr:colOff>30480</xdr:colOff>
          <xdr:row>101</xdr:row>
          <xdr:rowOff>30480</xdr:rowOff>
        </xdr:to>
        <xdr:sp macro="" textlink="">
          <xdr:nvSpPr>
            <xdr:cNvPr id="3158" name="Group Box 86" hidden="1">
              <a:extLst>
                <a:ext uri="{63B3BB69-23CF-44E3-9099-C40C66FF867C}">
                  <a14:compatExt spid="_x0000_s3158"/>
                </a:ext>
                <a:ext uri="{FF2B5EF4-FFF2-40B4-BE49-F238E27FC236}">
                  <a16:creationId xmlns:a16="http://schemas.microsoft.com/office/drawing/2014/main" id="{00000000-0008-0000-0E00-000056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Multímetro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96</xdr:row>
          <xdr:rowOff>182880</xdr:rowOff>
        </xdr:from>
        <xdr:to>
          <xdr:col>4</xdr:col>
          <xdr:colOff>2125980</xdr:colOff>
          <xdr:row>98</xdr:row>
          <xdr:rowOff>30480</xdr:rowOff>
        </xdr:to>
        <xdr:sp macro="" textlink="">
          <xdr:nvSpPr>
            <xdr:cNvPr id="3159" name="Option Button 87" hidden="1">
              <a:extLst>
                <a:ext uri="{63B3BB69-23CF-44E3-9099-C40C66FF867C}">
                  <a14:compatExt spid="_x0000_s3159"/>
                </a:ext>
                <a:ext uri="{FF2B5EF4-FFF2-40B4-BE49-F238E27FC236}">
                  <a16:creationId xmlns:a16="http://schemas.microsoft.com/office/drawing/2014/main" id="{00000000-0008-0000-0E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PCE EQ-CERT-151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98</xdr:row>
          <xdr:rowOff>38100</xdr:rowOff>
        </xdr:from>
        <xdr:to>
          <xdr:col>5</xdr:col>
          <xdr:colOff>68580</xdr:colOff>
          <xdr:row>99</xdr:row>
          <xdr:rowOff>68580</xdr:rowOff>
        </xdr:to>
        <xdr:sp macro="" textlink="">
          <xdr:nvSpPr>
            <xdr:cNvPr id="3160" name="Option Button 88" hidden="1">
              <a:extLst>
                <a:ext uri="{63B3BB69-23CF-44E3-9099-C40C66FF867C}">
                  <a14:compatExt spid="_x0000_s3160"/>
                </a:ext>
                <a:ext uri="{FF2B5EF4-FFF2-40B4-BE49-F238E27FC236}">
                  <a16:creationId xmlns:a16="http://schemas.microsoft.com/office/drawing/2014/main" id="{00000000-0008-0000-0E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Fluke  EQ-CERT- 240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99</xdr:row>
          <xdr:rowOff>68580</xdr:rowOff>
        </xdr:from>
        <xdr:to>
          <xdr:col>5</xdr:col>
          <xdr:colOff>982980</xdr:colOff>
          <xdr:row>100</xdr:row>
          <xdr:rowOff>144780</xdr:rowOff>
        </xdr:to>
        <xdr:sp macro="" textlink="">
          <xdr:nvSpPr>
            <xdr:cNvPr id="3161" name="Option Button 89" hidden="1">
              <a:extLst>
                <a:ext uri="{63B3BB69-23CF-44E3-9099-C40C66FF867C}">
                  <a14:compatExt spid="_x0000_s3161"/>
                </a:ext>
                <a:ext uri="{FF2B5EF4-FFF2-40B4-BE49-F238E27FC236}">
                  <a16:creationId xmlns:a16="http://schemas.microsoft.com/office/drawing/2014/main" id="{00000000-0008-0000-0E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Multímetro/Pinza UNI-TBotón de opción 89 EQ-CERT-152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xdr:row>
          <xdr:rowOff>182880</xdr:rowOff>
        </xdr:from>
        <xdr:to>
          <xdr:col>6</xdr:col>
          <xdr:colOff>30480</xdr:colOff>
          <xdr:row>105</xdr:row>
          <xdr:rowOff>30480</xdr:rowOff>
        </xdr:to>
        <xdr:sp macro="" textlink="">
          <xdr:nvSpPr>
            <xdr:cNvPr id="3162" name="Group Box 90" hidden="1">
              <a:extLst>
                <a:ext uri="{63B3BB69-23CF-44E3-9099-C40C66FF867C}">
                  <a14:compatExt spid="_x0000_s3162"/>
                </a:ext>
                <a:ext uri="{FF2B5EF4-FFF2-40B4-BE49-F238E27FC236}">
                  <a16:creationId xmlns:a16="http://schemas.microsoft.com/office/drawing/2014/main" id="{00000000-0008-0000-0E00-00005A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Corrientes de fuga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101</xdr:row>
          <xdr:rowOff>182880</xdr:rowOff>
        </xdr:from>
        <xdr:to>
          <xdr:col>5</xdr:col>
          <xdr:colOff>792480</xdr:colOff>
          <xdr:row>103</xdr:row>
          <xdr:rowOff>106680</xdr:rowOff>
        </xdr:to>
        <xdr:sp macro="" textlink="">
          <xdr:nvSpPr>
            <xdr:cNvPr id="3163" name="Option Button 91" hidden="1">
              <a:extLst>
                <a:ext uri="{63B3BB69-23CF-44E3-9099-C40C66FF867C}">
                  <a14:compatExt spid="_x0000_s3163"/>
                </a:ext>
                <a:ext uri="{FF2B5EF4-FFF2-40B4-BE49-F238E27FC236}">
                  <a16:creationId xmlns:a16="http://schemas.microsoft.com/office/drawing/2014/main" id="{00000000-0008-0000-0E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(contacto) EQ-CERT-042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103</xdr:row>
          <xdr:rowOff>76200</xdr:rowOff>
        </xdr:from>
        <xdr:to>
          <xdr:col>5</xdr:col>
          <xdr:colOff>868680</xdr:colOff>
          <xdr:row>104</xdr:row>
          <xdr:rowOff>144780</xdr:rowOff>
        </xdr:to>
        <xdr:sp macro="" textlink="">
          <xdr:nvSpPr>
            <xdr:cNvPr id="3164" name="Option Button 92" hidden="1">
              <a:extLst>
                <a:ext uri="{63B3BB69-23CF-44E3-9099-C40C66FF867C}">
                  <a14:compatExt spid="_x0000_s3164"/>
                </a:ext>
                <a:ext uri="{FF2B5EF4-FFF2-40B4-BE49-F238E27FC236}">
                  <a16:creationId xmlns:a16="http://schemas.microsoft.com/office/drawing/2014/main" id="{00000000-0008-0000-0E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lum Clase I portátiles EQ-CERT-043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xdr:row>
          <xdr:rowOff>0</xdr:rowOff>
        </xdr:from>
        <xdr:to>
          <xdr:col>3</xdr:col>
          <xdr:colOff>38100</xdr:colOff>
          <xdr:row>4</xdr:row>
          <xdr:rowOff>30480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E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37</xdr:row>
          <xdr:rowOff>182880</xdr:rowOff>
        </xdr:from>
        <xdr:to>
          <xdr:col>2</xdr:col>
          <xdr:colOff>68580</xdr:colOff>
          <xdr:row>39</xdr:row>
          <xdr:rowOff>30480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E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46</xdr:row>
          <xdr:rowOff>0</xdr:rowOff>
        </xdr:from>
        <xdr:to>
          <xdr:col>2</xdr:col>
          <xdr:colOff>68580</xdr:colOff>
          <xdr:row>47</xdr:row>
          <xdr:rowOff>30480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E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70</xdr:row>
          <xdr:rowOff>0</xdr:rowOff>
        </xdr:from>
        <xdr:to>
          <xdr:col>2</xdr:col>
          <xdr:colOff>68580</xdr:colOff>
          <xdr:row>71</xdr:row>
          <xdr:rowOff>30480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E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xdr:row>
          <xdr:rowOff>182880</xdr:rowOff>
        </xdr:from>
        <xdr:to>
          <xdr:col>6</xdr:col>
          <xdr:colOff>30480</xdr:colOff>
          <xdr:row>38</xdr:row>
          <xdr:rowOff>30480</xdr:rowOff>
        </xdr:to>
        <xdr:sp macro="" textlink="">
          <xdr:nvSpPr>
            <xdr:cNvPr id="3169" name="Group Box 97" hidden="1">
              <a:extLst>
                <a:ext uri="{63B3BB69-23CF-44E3-9099-C40C66FF867C}">
                  <a14:compatExt spid="_x0000_s3169"/>
                </a:ext>
                <a:ext uri="{FF2B5EF4-FFF2-40B4-BE49-F238E27FC236}">
                  <a16:creationId xmlns:a16="http://schemas.microsoft.com/office/drawing/2014/main" id="{00000000-0008-0000-0E00-000061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Continuidad de tierra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34</xdr:row>
          <xdr:rowOff>106680</xdr:rowOff>
        </xdr:from>
        <xdr:to>
          <xdr:col>4</xdr:col>
          <xdr:colOff>2468880</xdr:colOff>
          <xdr:row>35</xdr:row>
          <xdr:rowOff>114300</xdr:rowOff>
        </xdr:to>
        <xdr:sp macro="" textlink="">
          <xdr:nvSpPr>
            <xdr:cNvPr id="3170" name="Option Button 98" hidden="1">
              <a:extLst>
                <a:ext uri="{63B3BB69-23CF-44E3-9099-C40C66FF867C}">
                  <a14:compatExt spid="_x0000_s3170"/>
                </a:ext>
                <a:ext uri="{FF2B5EF4-FFF2-40B4-BE49-F238E27FC236}">
                  <a16:creationId xmlns:a16="http://schemas.microsoft.com/office/drawing/2014/main" id="{00000000-0008-0000-0E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continuidad de tierra EQ-CERT-045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36</xdr:row>
          <xdr:rowOff>30480</xdr:rowOff>
        </xdr:from>
        <xdr:to>
          <xdr:col>4</xdr:col>
          <xdr:colOff>2735580</xdr:colOff>
          <xdr:row>37</xdr:row>
          <xdr:rowOff>38100</xdr:rowOff>
        </xdr:to>
        <xdr:sp macro="" textlink="">
          <xdr:nvSpPr>
            <xdr:cNvPr id="3171" name="Option Button 99" hidden="1">
              <a:extLst>
                <a:ext uri="{63B3BB69-23CF-44E3-9099-C40C66FF867C}">
                  <a14:compatExt spid="_x0000_s3171"/>
                </a:ext>
                <a:ext uri="{FF2B5EF4-FFF2-40B4-BE49-F238E27FC236}">
                  <a16:creationId xmlns:a16="http://schemas.microsoft.com/office/drawing/2014/main" id="{00000000-0008-0000-0E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continuidad de tierra EQ-CERT-196</a:t>
              </a:r>
            </a:p>
          </xdr:txBody>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FIRMA_TdN" id="{C27A77EF-8569-4D50-9A80-D0BF589F3F18}" userId="FIRMA_TdN" providerId="None"/>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5-01-03T09:43:22.05" personId="{C27A77EF-8569-4D50-9A80-D0BF589F3F18}" id="{D67563BC-53D5-4A92-88B1-F8DA12AEB892}">
    <text>Responde a este comentario para firmar la Toma de Notas una vez finalizado el proyecto</text>
  </threadedComment>
</ThreadedComments>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omments" Target="../comments1.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 Type="http://schemas.openxmlformats.org/officeDocument/2006/relationships/ctrlProp" Target="../ctrlProps/ctrlProp2.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microsoft.com/office/2017/10/relationships/threadedComment" Target="../threadedComments/threadedComment1.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65.xml"/><Relationship Id="rId21" Type="http://schemas.openxmlformats.org/officeDocument/2006/relationships/ctrlProp" Target="../ctrlProps/ctrlProp69.xml"/><Relationship Id="rId42" Type="http://schemas.openxmlformats.org/officeDocument/2006/relationships/ctrlProp" Target="../ctrlProps/ctrlProp90.xml"/><Relationship Id="rId63" Type="http://schemas.openxmlformats.org/officeDocument/2006/relationships/ctrlProp" Target="../ctrlProps/ctrlProp111.xml"/><Relationship Id="rId84" Type="http://schemas.openxmlformats.org/officeDocument/2006/relationships/ctrlProp" Target="../ctrlProps/ctrlProp132.xml"/><Relationship Id="rId138" Type="http://schemas.openxmlformats.org/officeDocument/2006/relationships/ctrlProp" Target="../ctrlProps/ctrlProp186.xml"/><Relationship Id="rId159" Type="http://schemas.openxmlformats.org/officeDocument/2006/relationships/ctrlProp" Target="../ctrlProps/ctrlProp207.xml"/><Relationship Id="rId107" Type="http://schemas.openxmlformats.org/officeDocument/2006/relationships/ctrlProp" Target="../ctrlProps/ctrlProp155.xml"/><Relationship Id="rId11" Type="http://schemas.openxmlformats.org/officeDocument/2006/relationships/ctrlProp" Target="../ctrlProps/ctrlProp59.xml"/><Relationship Id="rId32" Type="http://schemas.openxmlformats.org/officeDocument/2006/relationships/ctrlProp" Target="../ctrlProps/ctrlProp80.xml"/><Relationship Id="rId53" Type="http://schemas.openxmlformats.org/officeDocument/2006/relationships/ctrlProp" Target="../ctrlProps/ctrlProp101.xml"/><Relationship Id="rId74" Type="http://schemas.openxmlformats.org/officeDocument/2006/relationships/ctrlProp" Target="../ctrlProps/ctrlProp122.xml"/><Relationship Id="rId128" Type="http://schemas.openxmlformats.org/officeDocument/2006/relationships/ctrlProp" Target="../ctrlProps/ctrlProp176.xml"/><Relationship Id="rId149" Type="http://schemas.openxmlformats.org/officeDocument/2006/relationships/ctrlProp" Target="../ctrlProps/ctrlProp197.xml"/><Relationship Id="rId5" Type="http://schemas.openxmlformats.org/officeDocument/2006/relationships/ctrlProp" Target="../ctrlProps/ctrlProp53.xml"/><Relationship Id="rId95" Type="http://schemas.openxmlformats.org/officeDocument/2006/relationships/ctrlProp" Target="../ctrlProps/ctrlProp143.xml"/><Relationship Id="rId160" Type="http://schemas.openxmlformats.org/officeDocument/2006/relationships/ctrlProp" Target="../ctrlProps/ctrlProp208.xml"/><Relationship Id="rId22" Type="http://schemas.openxmlformats.org/officeDocument/2006/relationships/ctrlProp" Target="../ctrlProps/ctrlProp70.xml"/><Relationship Id="rId43" Type="http://schemas.openxmlformats.org/officeDocument/2006/relationships/ctrlProp" Target="../ctrlProps/ctrlProp91.xml"/><Relationship Id="rId64" Type="http://schemas.openxmlformats.org/officeDocument/2006/relationships/ctrlProp" Target="../ctrlProps/ctrlProp112.xml"/><Relationship Id="rId118" Type="http://schemas.openxmlformats.org/officeDocument/2006/relationships/ctrlProp" Target="../ctrlProps/ctrlProp166.xml"/><Relationship Id="rId139" Type="http://schemas.openxmlformats.org/officeDocument/2006/relationships/ctrlProp" Target="../ctrlProps/ctrlProp187.xml"/><Relationship Id="rId85" Type="http://schemas.openxmlformats.org/officeDocument/2006/relationships/ctrlProp" Target="../ctrlProps/ctrlProp133.xml"/><Relationship Id="rId150" Type="http://schemas.openxmlformats.org/officeDocument/2006/relationships/ctrlProp" Target="../ctrlProps/ctrlProp198.xml"/><Relationship Id="rId12" Type="http://schemas.openxmlformats.org/officeDocument/2006/relationships/ctrlProp" Target="../ctrlProps/ctrlProp60.xml"/><Relationship Id="rId17" Type="http://schemas.openxmlformats.org/officeDocument/2006/relationships/ctrlProp" Target="../ctrlProps/ctrlProp65.xml"/><Relationship Id="rId33" Type="http://schemas.openxmlformats.org/officeDocument/2006/relationships/ctrlProp" Target="../ctrlProps/ctrlProp81.xml"/><Relationship Id="rId38" Type="http://schemas.openxmlformats.org/officeDocument/2006/relationships/ctrlProp" Target="../ctrlProps/ctrlProp86.xml"/><Relationship Id="rId59" Type="http://schemas.openxmlformats.org/officeDocument/2006/relationships/ctrlProp" Target="../ctrlProps/ctrlProp107.xml"/><Relationship Id="rId103" Type="http://schemas.openxmlformats.org/officeDocument/2006/relationships/ctrlProp" Target="../ctrlProps/ctrlProp151.xml"/><Relationship Id="rId108" Type="http://schemas.openxmlformats.org/officeDocument/2006/relationships/ctrlProp" Target="../ctrlProps/ctrlProp156.xml"/><Relationship Id="rId124" Type="http://schemas.openxmlformats.org/officeDocument/2006/relationships/ctrlProp" Target="../ctrlProps/ctrlProp172.xml"/><Relationship Id="rId129" Type="http://schemas.openxmlformats.org/officeDocument/2006/relationships/ctrlProp" Target="../ctrlProps/ctrlProp177.xml"/><Relationship Id="rId54" Type="http://schemas.openxmlformats.org/officeDocument/2006/relationships/ctrlProp" Target="../ctrlProps/ctrlProp102.xml"/><Relationship Id="rId70" Type="http://schemas.openxmlformats.org/officeDocument/2006/relationships/ctrlProp" Target="../ctrlProps/ctrlProp118.xml"/><Relationship Id="rId75" Type="http://schemas.openxmlformats.org/officeDocument/2006/relationships/ctrlProp" Target="../ctrlProps/ctrlProp123.xml"/><Relationship Id="rId91" Type="http://schemas.openxmlformats.org/officeDocument/2006/relationships/ctrlProp" Target="../ctrlProps/ctrlProp139.xml"/><Relationship Id="rId96" Type="http://schemas.openxmlformats.org/officeDocument/2006/relationships/ctrlProp" Target="../ctrlProps/ctrlProp144.xml"/><Relationship Id="rId140" Type="http://schemas.openxmlformats.org/officeDocument/2006/relationships/ctrlProp" Target="../ctrlProps/ctrlProp188.xml"/><Relationship Id="rId145" Type="http://schemas.openxmlformats.org/officeDocument/2006/relationships/ctrlProp" Target="../ctrlProps/ctrlProp193.xml"/><Relationship Id="rId161" Type="http://schemas.openxmlformats.org/officeDocument/2006/relationships/ctrlProp" Target="../ctrlProps/ctrlProp209.xml"/><Relationship Id="rId1" Type="http://schemas.openxmlformats.org/officeDocument/2006/relationships/printerSettings" Target="../printerSettings/printerSettings2.bin"/><Relationship Id="rId6" Type="http://schemas.openxmlformats.org/officeDocument/2006/relationships/ctrlProp" Target="../ctrlProps/ctrlProp54.xml"/><Relationship Id="rId23" Type="http://schemas.openxmlformats.org/officeDocument/2006/relationships/ctrlProp" Target="../ctrlProps/ctrlProp71.xml"/><Relationship Id="rId28" Type="http://schemas.openxmlformats.org/officeDocument/2006/relationships/ctrlProp" Target="../ctrlProps/ctrlProp76.xml"/><Relationship Id="rId49" Type="http://schemas.openxmlformats.org/officeDocument/2006/relationships/ctrlProp" Target="../ctrlProps/ctrlProp97.xml"/><Relationship Id="rId114" Type="http://schemas.openxmlformats.org/officeDocument/2006/relationships/ctrlProp" Target="../ctrlProps/ctrlProp162.xml"/><Relationship Id="rId119" Type="http://schemas.openxmlformats.org/officeDocument/2006/relationships/ctrlProp" Target="../ctrlProps/ctrlProp167.xml"/><Relationship Id="rId44" Type="http://schemas.openxmlformats.org/officeDocument/2006/relationships/ctrlProp" Target="../ctrlProps/ctrlProp92.xml"/><Relationship Id="rId60" Type="http://schemas.openxmlformats.org/officeDocument/2006/relationships/ctrlProp" Target="../ctrlProps/ctrlProp108.xml"/><Relationship Id="rId65" Type="http://schemas.openxmlformats.org/officeDocument/2006/relationships/ctrlProp" Target="../ctrlProps/ctrlProp113.xml"/><Relationship Id="rId81" Type="http://schemas.openxmlformats.org/officeDocument/2006/relationships/ctrlProp" Target="../ctrlProps/ctrlProp129.xml"/><Relationship Id="rId86" Type="http://schemas.openxmlformats.org/officeDocument/2006/relationships/ctrlProp" Target="../ctrlProps/ctrlProp134.xml"/><Relationship Id="rId130" Type="http://schemas.openxmlformats.org/officeDocument/2006/relationships/ctrlProp" Target="../ctrlProps/ctrlProp178.xml"/><Relationship Id="rId135" Type="http://schemas.openxmlformats.org/officeDocument/2006/relationships/ctrlProp" Target="../ctrlProps/ctrlProp183.xml"/><Relationship Id="rId151" Type="http://schemas.openxmlformats.org/officeDocument/2006/relationships/ctrlProp" Target="../ctrlProps/ctrlProp199.xml"/><Relationship Id="rId156" Type="http://schemas.openxmlformats.org/officeDocument/2006/relationships/ctrlProp" Target="../ctrlProps/ctrlProp204.xml"/><Relationship Id="rId13" Type="http://schemas.openxmlformats.org/officeDocument/2006/relationships/ctrlProp" Target="../ctrlProps/ctrlProp61.xml"/><Relationship Id="rId18" Type="http://schemas.openxmlformats.org/officeDocument/2006/relationships/ctrlProp" Target="../ctrlProps/ctrlProp66.xml"/><Relationship Id="rId39" Type="http://schemas.openxmlformats.org/officeDocument/2006/relationships/ctrlProp" Target="../ctrlProps/ctrlProp87.xml"/><Relationship Id="rId109" Type="http://schemas.openxmlformats.org/officeDocument/2006/relationships/ctrlProp" Target="../ctrlProps/ctrlProp157.xml"/><Relationship Id="rId34" Type="http://schemas.openxmlformats.org/officeDocument/2006/relationships/ctrlProp" Target="../ctrlProps/ctrlProp82.xml"/><Relationship Id="rId50" Type="http://schemas.openxmlformats.org/officeDocument/2006/relationships/ctrlProp" Target="../ctrlProps/ctrlProp98.xml"/><Relationship Id="rId55" Type="http://schemas.openxmlformats.org/officeDocument/2006/relationships/ctrlProp" Target="../ctrlProps/ctrlProp103.xml"/><Relationship Id="rId76" Type="http://schemas.openxmlformats.org/officeDocument/2006/relationships/ctrlProp" Target="../ctrlProps/ctrlProp124.xml"/><Relationship Id="rId97" Type="http://schemas.openxmlformats.org/officeDocument/2006/relationships/ctrlProp" Target="../ctrlProps/ctrlProp145.xml"/><Relationship Id="rId104" Type="http://schemas.openxmlformats.org/officeDocument/2006/relationships/ctrlProp" Target="../ctrlProps/ctrlProp152.xml"/><Relationship Id="rId120" Type="http://schemas.openxmlformats.org/officeDocument/2006/relationships/ctrlProp" Target="../ctrlProps/ctrlProp168.xml"/><Relationship Id="rId125" Type="http://schemas.openxmlformats.org/officeDocument/2006/relationships/ctrlProp" Target="../ctrlProps/ctrlProp173.xml"/><Relationship Id="rId141" Type="http://schemas.openxmlformats.org/officeDocument/2006/relationships/ctrlProp" Target="../ctrlProps/ctrlProp189.xml"/><Relationship Id="rId146" Type="http://schemas.openxmlformats.org/officeDocument/2006/relationships/ctrlProp" Target="../ctrlProps/ctrlProp194.xml"/><Relationship Id="rId7" Type="http://schemas.openxmlformats.org/officeDocument/2006/relationships/ctrlProp" Target="../ctrlProps/ctrlProp55.xml"/><Relationship Id="rId71" Type="http://schemas.openxmlformats.org/officeDocument/2006/relationships/ctrlProp" Target="../ctrlProps/ctrlProp119.xml"/><Relationship Id="rId92" Type="http://schemas.openxmlformats.org/officeDocument/2006/relationships/ctrlProp" Target="../ctrlProps/ctrlProp140.xml"/><Relationship Id="rId162" Type="http://schemas.openxmlformats.org/officeDocument/2006/relationships/ctrlProp" Target="../ctrlProps/ctrlProp210.xml"/><Relationship Id="rId2" Type="http://schemas.openxmlformats.org/officeDocument/2006/relationships/drawing" Target="../drawings/drawing2.xml"/><Relationship Id="rId29" Type="http://schemas.openxmlformats.org/officeDocument/2006/relationships/ctrlProp" Target="../ctrlProps/ctrlProp77.xml"/><Relationship Id="rId24" Type="http://schemas.openxmlformats.org/officeDocument/2006/relationships/ctrlProp" Target="../ctrlProps/ctrlProp72.xml"/><Relationship Id="rId40" Type="http://schemas.openxmlformats.org/officeDocument/2006/relationships/ctrlProp" Target="../ctrlProps/ctrlProp88.xml"/><Relationship Id="rId45" Type="http://schemas.openxmlformats.org/officeDocument/2006/relationships/ctrlProp" Target="../ctrlProps/ctrlProp93.xml"/><Relationship Id="rId66" Type="http://schemas.openxmlformats.org/officeDocument/2006/relationships/ctrlProp" Target="../ctrlProps/ctrlProp114.xml"/><Relationship Id="rId87" Type="http://schemas.openxmlformats.org/officeDocument/2006/relationships/ctrlProp" Target="../ctrlProps/ctrlProp135.xml"/><Relationship Id="rId110" Type="http://schemas.openxmlformats.org/officeDocument/2006/relationships/ctrlProp" Target="../ctrlProps/ctrlProp158.xml"/><Relationship Id="rId115" Type="http://schemas.openxmlformats.org/officeDocument/2006/relationships/ctrlProp" Target="../ctrlProps/ctrlProp163.xml"/><Relationship Id="rId131" Type="http://schemas.openxmlformats.org/officeDocument/2006/relationships/ctrlProp" Target="../ctrlProps/ctrlProp179.xml"/><Relationship Id="rId136" Type="http://schemas.openxmlformats.org/officeDocument/2006/relationships/ctrlProp" Target="../ctrlProps/ctrlProp184.xml"/><Relationship Id="rId157" Type="http://schemas.openxmlformats.org/officeDocument/2006/relationships/ctrlProp" Target="../ctrlProps/ctrlProp205.xml"/><Relationship Id="rId61" Type="http://schemas.openxmlformats.org/officeDocument/2006/relationships/ctrlProp" Target="../ctrlProps/ctrlProp109.xml"/><Relationship Id="rId82" Type="http://schemas.openxmlformats.org/officeDocument/2006/relationships/ctrlProp" Target="../ctrlProps/ctrlProp130.xml"/><Relationship Id="rId152" Type="http://schemas.openxmlformats.org/officeDocument/2006/relationships/ctrlProp" Target="../ctrlProps/ctrlProp200.xml"/><Relationship Id="rId19" Type="http://schemas.openxmlformats.org/officeDocument/2006/relationships/ctrlProp" Target="../ctrlProps/ctrlProp67.xml"/><Relationship Id="rId14" Type="http://schemas.openxmlformats.org/officeDocument/2006/relationships/ctrlProp" Target="../ctrlProps/ctrlProp62.xml"/><Relationship Id="rId30" Type="http://schemas.openxmlformats.org/officeDocument/2006/relationships/ctrlProp" Target="../ctrlProps/ctrlProp78.xml"/><Relationship Id="rId35" Type="http://schemas.openxmlformats.org/officeDocument/2006/relationships/ctrlProp" Target="../ctrlProps/ctrlProp83.xml"/><Relationship Id="rId56" Type="http://schemas.openxmlformats.org/officeDocument/2006/relationships/ctrlProp" Target="../ctrlProps/ctrlProp104.xml"/><Relationship Id="rId77" Type="http://schemas.openxmlformats.org/officeDocument/2006/relationships/ctrlProp" Target="../ctrlProps/ctrlProp125.xml"/><Relationship Id="rId100" Type="http://schemas.openxmlformats.org/officeDocument/2006/relationships/ctrlProp" Target="../ctrlProps/ctrlProp148.xml"/><Relationship Id="rId105" Type="http://schemas.openxmlformats.org/officeDocument/2006/relationships/ctrlProp" Target="../ctrlProps/ctrlProp153.xml"/><Relationship Id="rId126" Type="http://schemas.openxmlformats.org/officeDocument/2006/relationships/ctrlProp" Target="../ctrlProps/ctrlProp174.xml"/><Relationship Id="rId147" Type="http://schemas.openxmlformats.org/officeDocument/2006/relationships/ctrlProp" Target="../ctrlProps/ctrlProp195.xml"/><Relationship Id="rId8" Type="http://schemas.openxmlformats.org/officeDocument/2006/relationships/ctrlProp" Target="../ctrlProps/ctrlProp56.xml"/><Relationship Id="rId51" Type="http://schemas.openxmlformats.org/officeDocument/2006/relationships/ctrlProp" Target="../ctrlProps/ctrlProp99.xml"/><Relationship Id="rId72" Type="http://schemas.openxmlformats.org/officeDocument/2006/relationships/ctrlProp" Target="../ctrlProps/ctrlProp120.xml"/><Relationship Id="rId93" Type="http://schemas.openxmlformats.org/officeDocument/2006/relationships/ctrlProp" Target="../ctrlProps/ctrlProp141.xml"/><Relationship Id="rId98" Type="http://schemas.openxmlformats.org/officeDocument/2006/relationships/ctrlProp" Target="../ctrlProps/ctrlProp146.xml"/><Relationship Id="rId121" Type="http://schemas.openxmlformats.org/officeDocument/2006/relationships/ctrlProp" Target="../ctrlProps/ctrlProp169.xml"/><Relationship Id="rId142" Type="http://schemas.openxmlformats.org/officeDocument/2006/relationships/ctrlProp" Target="../ctrlProps/ctrlProp190.xml"/><Relationship Id="rId163" Type="http://schemas.openxmlformats.org/officeDocument/2006/relationships/ctrlProp" Target="../ctrlProps/ctrlProp211.xml"/><Relationship Id="rId3" Type="http://schemas.openxmlformats.org/officeDocument/2006/relationships/vmlDrawing" Target="../drawings/vmlDrawing2.vml"/><Relationship Id="rId25" Type="http://schemas.openxmlformats.org/officeDocument/2006/relationships/ctrlProp" Target="../ctrlProps/ctrlProp73.xml"/><Relationship Id="rId46" Type="http://schemas.openxmlformats.org/officeDocument/2006/relationships/ctrlProp" Target="../ctrlProps/ctrlProp94.xml"/><Relationship Id="rId67" Type="http://schemas.openxmlformats.org/officeDocument/2006/relationships/ctrlProp" Target="../ctrlProps/ctrlProp115.xml"/><Relationship Id="rId116" Type="http://schemas.openxmlformats.org/officeDocument/2006/relationships/ctrlProp" Target="../ctrlProps/ctrlProp164.xml"/><Relationship Id="rId137" Type="http://schemas.openxmlformats.org/officeDocument/2006/relationships/ctrlProp" Target="../ctrlProps/ctrlProp185.xml"/><Relationship Id="rId158" Type="http://schemas.openxmlformats.org/officeDocument/2006/relationships/ctrlProp" Target="../ctrlProps/ctrlProp206.xml"/><Relationship Id="rId20" Type="http://schemas.openxmlformats.org/officeDocument/2006/relationships/ctrlProp" Target="../ctrlProps/ctrlProp68.xml"/><Relationship Id="rId41" Type="http://schemas.openxmlformats.org/officeDocument/2006/relationships/ctrlProp" Target="../ctrlProps/ctrlProp89.xml"/><Relationship Id="rId62" Type="http://schemas.openxmlformats.org/officeDocument/2006/relationships/ctrlProp" Target="../ctrlProps/ctrlProp110.xml"/><Relationship Id="rId83" Type="http://schemas.openxmlformats.org/officeDocument/2006/relationships/ctrlProp" Target="../ctrlProps/ctrlProp131.xml"/><Relationship Id="rId88" Type="http://schemas.openxmlformats.org/officeDocument/2006/relationships/ctrlProp" Target="../ctrlProps/ctrlProp136.xml"/><Relationship Id="rId111" Type="http://schemas.openxmlformats.org/officeDocument/2006/relationships/ctrlProp" Target="../ctrlProps/ctrlProp159.xml"/><Relationship Id="rId132" Type="http://schemas.openxmlformats.org/officeDocument/2006/relationships/ctrlProp" Target="../ctrlProps/ctrlProp180.xml"/><Relationship Id="rId153" Type="http://schemas.openxmlformats.org/officeDocument/2006/relationships/ctrlProp" Target="../ctrlProps/ctrlProp201.xml"/><Relationship Id="rId15" Type="http://schemas.openxmlformats.org/officeDocument/2006/relationships/ctrlProp" Target="../ctrlProps/ctrlProp63.xml"/><Relationship Id="rId36" Type="http://schemas.openxmlformats.org/officeDocument/2006/relationships/ctrlProp" Target="../ctrlProps/ctrlProp84.xml"/><Relationship Id="rId57" Type="http://schemas.openxmlformats.org/officeDocument/2006/relationships/ctrlProp" Target="../ctrlProps/ctrlProp105.xml"/><Relationship Id="rId106" Type="http://schemas.openxmlformats.org/officeDocument/2006/relationships/ctrlProp" Target="../ctrlProps/ctrlProp154.xml"/><Relationship Id="rId127" Type="http://schemas.openxmlformats.org/officeDocument/2006/relationships/ctrlProp" Target="../ctrlProps/ctrlProp175.xml"/><Relationship Id="rId10" Type="http://schemas.openxmlformats.org/officeDocument/2006/relationships/ctrlProp" Target="../ctrlProps/ctrlProp58.xml"/><Relationship Id="rId31" Type="http://schemas.openxmlformats.org/officeDocument/2006/relationships/ctrlProp" Target="../ctrlProps/ctrlProp79.xml"/><Relationship Id="rId52" Type="http://schemas.openxmlformats.org/officeDocument/2006/relationships/ctrlProp" Target="../ctrlProps/ctrlProp100.xml"/><Relationship Id="rId73" Type="http://schemas.openxmlformats.org/officeDocument/2006/relationships/ctrlProp" Target="../ctrlProps/ctrlProp121.xml"/><Relationship Id="rId78" Type="http://schemas.openxmlformats.org/officeDocument/2006/relationships/ctrlProp" Target="../ctrlProps/ctrlProp126.xml"/><Relationship Id="rId94" Type="http://schemas.openxmlformats.org/officeDocument/2006/relationships/ctrlProp" Target="../ctrlProps/ctrlProp142.xml"/><Relationship Id="rId99" Type="http://schemas.openxmlformats.org/officeDocument/2006/relationships/ctrlProp" Target="../ctrlProps/ctrlProp147.xml"/><Relationship Id="rId101" Type="http://schemas.openxmlformats.org/officeDocument/2006/relationships/ctrlProp" Target="../ctrlProps/ctrlProp149.xml"/><Relationship Id="rId122" Type="http://schemas.openxmlformats.org/officeDocument/2006/relationships/ctrlProp" Target="../ctrlProps/ctrlProp170.xml"/><Relationship Id="rId143" Type="http://schemas.openxmlformats.org/officeDocument/2006/relationships/ctrlProp" Target="../ctrlProps/ctrlProp191.xml"/><Relationship Id="rId148" Type="http://schemas.openxmlformats.org/officeDocument/2006/relationships/ctrlProp" Target="../ctrlProps/ctrlProp196.xml"/><Relationship Id="rId164" Type="http://schemas.openxmlformats.org/officeDocument/2006/relationships/ctrlProp" Target="../ctrlProps/ctrlProp212.xml"/><Relationship Id="rId4" Type="http://schemas.openxmlformats.org/officeDocument/2006/relationships/ctrlProp" Target="../ctrlProps/ctrlProp52.xml"/><Relationship Id="rId9" Type="http://schemas.openxmlformats.org/officeDocument/2006/relationships/ctrlProp" Target="../ctrlProps/ctrlProp57.xml"/><Relationship Id="rId26" Type="http://schemas.openxmlformats.org/officeDocument/2006/relationships/ctrlProp" Target="../ctrlProps/ctrlProp74.xml"/><Relationship Id="rId47" Type="http://schemas.openxmlformats.org/officeDocument/2006/relationships/ctrlProp" Target="../ctrlProps/ctrlProp95.xml"/><Relationship Id="rId68" Type="http://schemas.openxmlformats.org/officeDocument/2006/relationships/ctrlProp" Target="../ctrlProps/ctrlProp116.xml"/><Relationship Id="rId89" Type="http://schemas.openxmlformats.org/officeDocument/2006/relationships/ctrlProp" Target="../ctrlProps/ctrlProp137.xml"/><Relationship Id="rId112" Type="http://schemas.openxmlformats.org/officeDocument/2006/relationships/ctrlProp" Target="../ctrlProps/ctrlProp160.xml"/><Relationship Id="rId133" Type="http://schemas.openxmlformats.org/officeDocument/2006/relationships/ctrlProp" Target="../ctrlProps/ctrlProp181.xml"/><Relationship Id="rId154" Type="http://schemas.openxmlformats.org/officeDocument/2006/relationships/ctrlProp" Target="../ctrlProps/ctrlProp202.xml"/><Relationship Id="rId16" Type="http://schemas.openxmlformats.org/officeDocument/2006/relationships/ctrlProp" Target="../ctrlProps/ctrlProp64.xml"/><Relationship Id="rId37" Type="http://schemas.openxmlformats.org/officeDocument/2006/relationships/ctrlProp" Target="../ctrlProps/ctrlProp85.xml"/><Relationship Id="rId58" Type="http://schemas.openxmlformats.org/officeDocument/2006/relationships/ctrlProp" Target="../ctrlProps/ctrlProp106.xml"/><Relationship Id="rId79" Type="http://schemas.openxmlformats.org/officeDocument/2006/relationships/ctrlProp" Target="../ctrlProps/ctrlProp127.xml"/><Relationship Id="rId102" Type="http://schemas.openxmlformats.org/officeDocument/2006/relationships/ctrlProp" Target="../ctrlProps/ctrlProp150.xml"/><Relationship Id="rId123" Type="http://schemas.openxmlformats.org/officeDocument/2006/relationships/ctrlProp" Target="../ctrlProps/ctrlProp171.xml"/><Relationship Id="rId144" Type="http://schemas.openxmlformats.org/officeDocument/2006/relationships/ctrlProp" Target="../ctrlProps/ctrlProp192.xml"/><Relationship Id="rId90" Type="http://schemas.openxmlformats.org/officeDocument/2006/relationships/ctrlProp" Target="../ctrlProps/ctrlProp138.xml"/><Relationship Id="rId27" Type="http://schemas.openxmlformats.org/officeDocument/2006/relationships/ctrlProp" Target="../ctrlProps/ctrlProp75.xml"/><Relationship Id="rId48" Type="http://schemas.openxmlformats.org/officeDocument/2006/relationships/ctrlProp" Target="../ctrlProps/ctrlProp96.xml"/><Relationship Id="rId69" Type="http://schemas.openxmlformats.org/officeDocument/2006/relationships/ctrlProp" Target="../ctrlProps/ctrlProp117.xml"/><Relationship Id="rId113" Type="http://schemas.openxmlformats.org/officeDocument/2006/relationships/ctrlProp" Target="../ctrlProps/ctrlProp161.xml"/><Relationship Id="rId134" Type="http://schemas.openxmlformats.org/officeDocument/2006/relationships/ctrlProp" Target="../ctrlProps/ctrlProp182.xml"/><Relationship Id="rId80" Type="http://schemas.openxmlformats.org/officeDocument/2006/relationships/ctrlProp" Target="../ctrlProps/ctrlProp128.xml"/><Relationship Id="rId155" Type="http://schemas.openxmlformats.org/officeDocument/2006/relationships/ctrlProp" Target="../ctrlProps/ctrlProp20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234.xml"/><Relationship Id="rId21" Type="http://schemas.openxmlformats.org/officeDocument/2006/relationships/ctrlProp" Target="../ctrlProps/ctrlProp229.xml"/><Relationship Id="rId42" Type="http://schemas.openxmlformats.org/officeDocument/2006/relationships/ctrlProp" Target="../ctrlProps/ctrlProp250.xml"/><Relationship Id="rId47" Type="http://schemas.openxmlformats.org/officeDocument/2006/relationships/ctrlProp" Target="../ctrlProps/ctrlProp255.xml"/><Relationship Id="rId63" Type="http://schemas.openxmlformats.org/officeDocument/2006/relationships/ctrlProp" Target="../ctrlProps/ctrlProp271.xml"/><Relationship Id="rId68" Type="http://schemas.openxmlformats.org/officeDocument/2006/relationships/ctrlProp" Target="../ctrlProps/ctrlProp276.xml"/><Relationship Id="rId84" Type="http://schemas.openxmlformats.org/officeDocument/2006/relationships/ctrlProp" Target="../ctrlProps/ctrlProp292.xml"/><Relationship Id="rId89" Type="http://schemas.openxmlformats.org/officeDocument/2006/relationships/ctrlProp" Target="../ctrlProps/ctrlProp297.xml"/><Relationship Id="rId16" Type="http://schemas.openxmlformats.org/officeDocument/2006/relationships/ctrlProp" Target="../ctrlProps/ctrlProp224.xml"/><Relationship Id="rId11" Type="http://schemas.openxmlformats.org/officeDocument/2006/relationships/ctrlProp" Target="../ctrlProps/ctrlProp219.xml"/><Relationship Id="rId32" Type="http://schemas.openxmlformats.org/officeDocument/2006/relationships/ctrlProp" Target="../ctrlProps/ctrlProp240.xml"/><Relationship Id="rId37" Type="http://schemas.openxmlformats.org/officeDocument/2006/relationships/ctrlProp" Target="../ctrlProps/ctrlProp245.xml"/><Relationship Id="rId53" Type="http://schemas.openxmlformats.org/officeDocument/2006/relationships/ctrlProp" Target="../ctrlProps/ctrlProp261.xml"/><Relationship Id="rId58" Type="http://schemas.openxmlformats.org/officeDocument/2006/relationships/ctrlProp" Target="../ctrlProps/ctrlProp266.xml"/><Relationship Id="rId74" Type="http://schemas.openxmlformats.org/officeDocument/2006/relationships/ctrlProp" Target="../ctrlProps/ctrlProp282.xml"/><Relationship Id="rId79" Type="http://schemas.openxmlformats.org/officeDocument/2006/relationships/ctrlProp" Target="../ctrlProps/ctrlProp287.xml"/><Relationship Id="rId5" Type="http://schemas.openxmlformats.org/officeDocument/2006/relationships/ctrlProp" Target="../ctrlProps/ctrlProp213.xml"/><Relationship Id="rId14" Type="http://schemas.openxmlformats.org/officeDocument/2006/relationships/ctrlProp" Target="../ctrlProps/ctrlProp222.xml"/><Relationship Id="rId22" Type="http://schemas.openxmlformats.org/officeDocument/2006/relationships/ctrlProp" Target="../ctrlProps/ctrlProp230.xml"/><Relationship Id="rId27" Type="http://schemas.openxmlformats.org/officeDocument/2006/relationships/ctrlProp" Target="../ctrlProps/ctrlProp235.xml"/><Relationship Id="rId30" Type="http://schemas.openxmlformats.org/officeDocument/2006/relationships/ctrlProp" Target="../ctrlProps/ctrlProp238.xml"/><Relationship Id="rId35" Type="http://schemas.openxmlformats.org/officeDocument/2006/relationships/ctrlProp" Target="../ctrlProps/ctrlProp243.xml"/><Relationship Id="rId43" Type="http://schemas.openxmlformats.org/officeDocument/2006/relationships/ctrlProp" Target="../ctrlProps/ctrlProp251.xml"/><Relationship Id="rId48" Type="http://schemas.openxmlformats.org/officeDocument/2006/relationships/ctrlProp" Target="../ctrlProps/ctrlProp256.xml"/><Relationship Id="rId56" Type="http://schemas.openxmlformats.org/officeDocument/2006/relationships/ctrlProp" Target="../ctrlProps/ctrlProp264.xml"/><Relationship Id="rId64" Type="http://schemas.openxmlformats.org/officeDocument/2006/relationships/ctrlProp" Target="../ctrlProps/ctrlProp272.xml"/><Relationship Id="rId69" Type="http://schemas.openxmlformats.org/officeDocument/2006/relationships/ctrlProp" Target="../ctrlProps/ctrlProp277.xml"/><Relationship Id="rId77" Type="http://schemas.openxmlformats.org/officeDocument/2006/relationships/ctrlProp" Target="../ctrlProps/ctrlProp285.xml"/><Relationship Id="rId8" Type="http://schemas.openxmlformats.org/officeDocument/2006/relationships/ctrlProp" Target="../ctrlProps/ctrlProp216.xml"/><Relationship Id="rId51" Type="http://schemas.openxmlformats.org/officeDocument/2006/relationships/ctrlProp" Target="../ctrlProps/ctrlProp259.xml"/><Relationship Id="rId72" Type="http://schemas.openxmlformats.org/officeDocument/2006/relationships/ctrlProp" Target="../ctrlProps/ctrlProp280.xml"/><Relationship Id="rId80" Type="http://schemas.openxmlformats.org/officeDocument/2006/relationships/ctrlProp" Target="../ctrlProps/ctrlProp288.xml"/><Relationship Id="rId85" Type="http://schemas.openxmlformats.org/officeDocument/2006/relationships/ctrlProp" Target="../ctrlProps/ctrlProp293.xml"/><Relationship Id="rId3" Type="http://schemas.openxmlformats.org/officeDocument/2006/relationships/drawing" Target="../drawings/drawing5.xml"/><Relationship Id="rId12" Type="http://schemas.openxmlformats.org/officeDocument/2006/relationships/ctrlProp" Target="../ctrlProps/ctrlProp220.xml"/><Relationship Id="rId17" Type="http://schemas.openxmlformats.org/officeDocument/2006/relationships/ctrlProp" Target="../ctrlProps/ctrlProp225.xml"/><Relationship Id="rId25" Type="http://schemas.openxmlformats.org/officeDocument/2006/relationships/ctrlProp" Target="../ctrlProps/ctrlProp233.xml"/><Relationship Id="rId33" Type="http://schemas.openxmlformats.org/officeDocument/2006/relationships/ctrlProp" Target="../ctrlProps/ctrlProp241.xml"/><Relationship Id="rId38" Type="http://schemas.openxmlformats.org/officeDocument/2006/relationships/ctrlProp" Target="../ctrlProps/ctrlProp246.xml"/><Relationship Id="rId46" Type="http://schemas.openxmlformats.org/officeDocument/2006/relationships/ctrlProp" Target="../ctrlProps/ctrlProp254.xml"/><Relationship Id="rId59" Type="http://schemas.openxmlformats.org/officeDocument/2006/relationships/ctrlProp" Target="../ctrlProps/ctrlProp267.xml"/><Relationship Id="rId67" Type="http://schemas.openxmlformats.org/officeDocument/2006/relationships/ctrlProp" Target="../ctrlProps/ctrlProp275.xml"/><Relationship Id="rId20" Type="http://schemas.openxmlformats.org/officeDocument/2006/relationships/ctrlProp" Target="../ctrlProps/ctrlProp228.xml"/><Relationship Id="rId41" Type="http://schemas.openxmlformats.org/officeDocument/2006/relationships/ctrlProp" Target="../ctrlProps/ctrlProp249.xml"/><Relationship Id="rId54" Type="http://schemas.openxmlformats.org/officeDocument/2006/relationships/ctrlProp" Target="../ctrlProps/ctrlProp262.xml"/><Relationship Id="rId62" Type="http://schemas.openxmlformats.org/officeDocument/2006/relationships/ctrlProp" Target="../ctrlProps/ctrlProp270.xml"/><Relationship Id="rId70" Type="http://schemas.openxmlformats.org/officeDocument/2006/relationships/ctrlProp" Target="../ctrlProps/ctrlProp278.xml"/><Relationship Id="rId75" Type="http://schemas.openxmlformats.org/officeDocument/2006/relationships/ctrlProp" Target="../ctrlProps/ctrlProp283.xml"/><Relationship Id="rId83" Type="http://schemas.openxmlformats.org/officeDocument/2006/relationships/ctrlProp" Target="../ctrlProps/ctrlProp291.xml"/><Relationship Id="rId88" Type="http://schemas.openxmlformats.org/officeDocument/2006/relationships/ctrlProp" Target="../ctrlProps/ctrlProp296.xml"/><Relationship Id="rId1" Type="http://schemas.openxmlformats.org/officeDocument/2006/relationships/printerSettings" Target="../printerSettings/printerSettings5.bin"/><Relationship Id="rId6" Type="http://schemas.openxmlformats.org/officeDocument/2006/relationships/ctrlProp" Target="../ctrlProps/ctrlProp214.xml"/><Relationship Id="rId15" Type="http://schemas.openxmlformats.org/officeDocument/2006/relationships/ctrlProp" Target="../ctrlProps/ctrlProp223.xml"/><Relationship Id="rId23" Type="http://schemas.openxmlformats.org/officeDocument/2006/relationships/ctrlProp" Target="../ctrlProps/ctrlProp231.xml"/><Relationship Id="rId28" Type="http://schemas.openxmlformats.org/officeDocument/2006/relationships/ctrlProp" Target="../ctrlProps/ctrlProp236.xml"/><Relationship Id="rId36" Type="http://schemas.openxmlformats.org/officeDocument/2006/relationships/ctrlProp" Target="../ctrlProps/ctrlProp244.xml"/><Relationship Id="rId49" Type="http://schemas.openxmlformats.org/officeDocument/2006/relationships/ctrlProp" Target="../ctrlProps/ctrlProp257.xml"/><Relationship Id="rId57" Type="http://schemas.openxmlformats.org/officeDocument/2006/relationships/ctrlProp" Target="../ctrlProps/ctrlProp265.xml"/><Relationship Id="rId10" Type="http://schemas.openxmlformats.org/officeDocument/2006/relationships/ctrlProp" Target="../ctrlProps/ctrlProp218.xml"/><Relationship Id="rId31" Type="http://schemas.openxmlformats.org/officeDocument/2006/relationships/ctrlProp" Target="../ctrlProps/ctrlProp239.xml"/><Relationship Id="rId44" Type="http://schemas.openxmlformats.org/officeDocument/2006/relationships/ctrlProp" Target="../ctrlProps/ctrlProp252.xml"/><Relationship Id="rId52" Type="http://schemas.openxmlformats.org/officeDocument/2006/relationships/ctrlProp" Target="../ctrlProps/ctrlProp260.xml"/><Relationship Id="rId60" Type="http://schemas.openxmlformats.org/officeDocument/2006/relationships/ctrlProp" Target="../ctrlProps/ctrlProp268.xml"/><Relationship Id="rId65" Type="http://schemas.openxmlformats.org/officeDocument/2006/relationships/ctrlProp" Target="../ctrlProps/ctrlProp273.xml"/><Relationship Id="rId73" Type="http://schemas.openxmlformats.org/officeDocument/2006/relationships/ctrlProp" Target="../ctrlProps/ctrlProp281.xml"/><Relationship Id="rId78" Type="http://schemas.openxmlformats.org/officeDocument/2006/relationships/ctrlProp" Target="../ctrlProps/ctrlProp286.xml"/><Relationship Id="rId81" Type="http://schemas.openxmlformats.org/officeDocument/2006/relationships/ctrlProp" Target="../ctrlProps/ctrlProp289.xml"/><Relationship Id="rId86" Type="http://schemas.openxmlformats.org/officeDocument/2006/relationships/ctrlProp" Target="../ctrlProps/ctrlProp294.xml"/><Relationship Id="rId4" Type="http://schemas.openxmlformats.org/officeDocument/2006/relationships/vmlDrawing" Target="../drawings/vmlDrawing3.vml"/><Relationship Id="rId9" Type="http://schemas.openxmlformats.org/officeDocument/2006/relationships/ctrlProp" Target="../ctrlProps/ctrlProp217.xml"/><Relationship Id="rId13" Type="http://schemas.openxmlformats.org/officeDocument/2006/relationships/ctrlProp" Target="../ctrlProps/ctrlProp221.xml"/><Relationship Id="rId18" Type="http://schemas.openxmlformats.org/officeDocument/2006/relationships/ctrlProp" Target="../ctrlProps/ctrlProp226.xml"/><Relationship Id="rId39" Type="http://schemas.openxmlformats.org/officeDocument/2006/relationships/ctrlProp" Target="../ctrlProps/ctrlProp247.xml"/><Relationship Id="rId34" Type="http://schemas.openxmlformats.org/officeDocument/2006/relationships/ctrlProp" Target="../ctrlProps/ctrlProp242.xml"/><Relationship Id="rId50" Type="http://schemas.openxmlformats.org/officeDocument/2006/relationships/ctrlProp" Target="../ctrlProps/ctrlProp258.xml"/><Relationship Id="rId55" Type="http://schemas.openxmlformats.org/officeDocument/2006/relationships/ctrlProp" Target="../ctrlProps/ctrlProp263.xml"/><Relationship Id="rId76" Type="http://schemas.openxmlformats.org/officeDocument/2006/relationships/ctrlProp" Target="../ctrlProps/ctrlProp284.xml"/><Relationship Id="rId7" Type="http://schemas.openxmlformats.org/officeDocument/2006/relationships/ctrlProp" Target="../ctrlProps/ctrlProp215.xml"/><Relationship Id="rId71" Type="http://schemas.openxmlformats.org/officeDocument/2006/relationships/ctrlProp" Target="../ctrlProps/ctrlProp279.xml"/><Relationship Id="rId2" Type="http://schemas.openxmlformats.org/officeDocument/2006/relationships/printerSettings" Target="../printerSettings/printerSettings6.bin"/><Relationship Id="rId29" Type="http://schemas.openxmlformats.org/officeDocument/2006/relationships/ctrlProp" Target="../ctrlProps/ctrlProp237.xml"/><Relationship Id="rId24" Type="http://schemas.openxmlformats.org/officeDocument/2006/relationships/ctrlProp" Target="../ctrlProps/ctrlProp232.xml"/><Relationship Id="rId40" Type="http://schemas.openxmlformats.org/officeDocument/2006/relationships/ctrlProp" Target="../ctrlProps/ctrlProp248.xml"/><Relationship Id="rId45" Type="http://schemas.openxmlformats.org/officeDocument/2006/relationships/ctrlProp" Target="../ctrlProps/ctrlProp253.xml"/><Relationship Id="rId66" Type="http://schemas.openxmlformats.org/officeDocument/2006/relationships/ctrlProp" Target="../ctrlProps/ctrlProp274.xml"/><Relationship Id="rId87" Type="http://schemas.openxmlformats.org/officeDocument/2006/relationships/ctrlProp" Target="../ctrlProps/ctrlProp295.xml"/><Relationship Id="rId61" Type="http://schemas.openxmlformats.org/officeDocument/2006/relationships/ctrlProp" Target="../ctrlProps/ctrlProp269.xml"/><Relationship Id="rId82" Type="http://schemas.openxmlformats.org/officeDocument/2006/relationships/ctrlProp" Target="../ctrlProps/ctrlProp290.xml"/><Relationship Id="rId19" Type="http://schemas.openxmlformats.org/officeDocument/2006/relationships/ctrlProp" Target="../ctrlProps/ctrlProp227.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D029-DEF5-4614-BEAA-2A511179C38E}">
  <sheetPr codeName="Sheet1">
    <tabColor theme="4" tint="0.59999389629810485"/>
    <pageSetUpPr fitToPage="1"/>
  </sheetPr>
  <dimension ref="A1:S62"/>
  <sheetViews>
    <sheetView workbookViewId="0">
      <selection activeCell="F3" sqref="F3"/>
    </sheetView>
  </sheetViews>
  <sheetFormatPr defaultColWidth="11.44140625" defaultRowHeight="14.4"/>
  <cols>
    <col min="1" max="1" width="4.44140625" style="402" customWidth="1"/>
    <col min="2" max="2" width="11.44140625" style="402"/>
    <col min="3" max="3" width="11.5546875" style="402" customWidth="1"/>
    <col min="4" max="5" width="11.44140625" style="402"/>
    <col min="6" max="6" width="11.44140625" style="402" customWidth="1"/>
    <col min="7" max="7" width="3.44140625" style="402" customWidth="1"/>
    <col min="8" max="9" width="9.44140625" style="402" customWidth="1"/>
    <col min="10" max="13" width="11.44140625" style="402"/>
    <col min="14" max="14" width="3.5546875" style="402" customWidth="1"/>
    <col min="15" max="15" width="9.5546875" style="402" customWidth="1"/>
    <col min="16" max="18" width="11.44140625" style="402"/>
    <col min="19" max="19" width="3.5546875" style="402" customWidth="1"/>
    <col min="20" max="16384" width="11.44140625" style="402"/>
  </cols>
  <sheetData>
    <row r="1" spans="2:19" ht="15" thickBot="1"/>
    <row r="2" spans="2:19" ht="15.6">
      <c r="B2" s="452"/>
      <c r="C2" s="453"/>
      <c r="D2" s="453"/>
      <c r="E2" s="453"/>
      <c r="F2" s="454" t="s">
        <v>1241</v>
      </c>
      <c r="H2" s="672" t="s">
        <v>848</v>
      </c>
      <c r="I2" s="673"/>
      <c r="J2" s="673"/>
      <c r="K2" s="673"/>
      <c r="L2" s="673"/>
      <c r="M2" s="673"/>
      <c r="N2" s="673"/>
      <c r="O2" s="673"/>
      <c r="P2" s="673"/>
      <c r="Q2" s="673"/>
      <c r="R2" s="673"/>
      <c r="S2" s="674"/>
    </row>
    <row r="3" spans="2:19" ht="18">
      <c r="B3" s="690" t="s">
        <v>223</v>
      </c>
      <c r="C3" s="691"/>
      <c r="D3" s="692" t="s">
        <v>850</v>
      </c>
      <c r="E3" s="692"/>
      <c r="F3" s="464"/>
      <c r="H3" s="675"/>
      <c r="I3" s="676"/>
      <c r="J3" s="676"/>
      <c r="K3" s="676"/>
      <c r="L3" s="676"/>
      <c r="M3" s="676"/>
      <c r="N3" s="676"/>
      <c r="O3" s="676"/>
      <c r="P3" s="676"/>
      <c r="Q3" s="676"/>
      <c r="R3" s="676"/>
      <c r="S3" s="677"/>
    </row>
    <row r="4" spans="2:19" s="403" customFormat="1" ht="18">
      <c r="B4" s="690" t="s">
        <v>247</v>
      </c>
      <c r="C4" s="691"/>
      <c r="D4" s="680"/>
      <c r="E4" s="681"/>
      <c r="F4" s="465"/>
      <c r="H4" s="675"/>
      <c r="I4" s="676"/>
      <c r="J4" s="676"/>
      <c r="K4" s="676"/>
      <c r="L4" s="676"/>
      <c r="M4" s="676"/>
      <c r="N4" s="676"/>
      <c r="O4" s="676"/>
      <c r="P4" s="676"/>
      <c r="Q4" s="676"/>
      <c r="R4" s="676"/>
      <c r="S4" s="677"/>
    </row>
    <row r="5" spans="2:19" s="403" customFormat="1" ht="15" customHeight="1">
      <c r="B5" s="455"/>
      <c r="C5" s="456" t="s">
        <v>248</v>
      </c>
      <c r="D5" s="692"/>
      <c r="E5" s="692"/>
      <c r="F5" s="465"/>
      <c r="H5" s="675"/>
      <c r="I5" s="676"/>
      <c r="J5" s="676"/>
      <c r="K5" s="676"/>
      <c r="L5" s="676"/>
      <c r="M5" s="676"/>
      <c r="N5" s="676"/>
      <c r="O5" s="676"/>
      <c r="P5" s="676"/>
      <c r="Q5" s="676"/>
      <c r="R5" s="676"/>
      <c r="S5" s="677"/>
    </row>
    <row r="6" spans="2:19" s="403" customFormat="1" ht="15" customHeight="1">
      <c r="B6" s="455"/>
      <c r="C6" s="456" t="s">
        <v>249</v>
      </c>
      <c r="D6" s="692"/>
      <c r="E6" s="692"/>
      <c r="F6" s="465"/>
      <c r="H6" s="675"/>
      <c r="I6" s="676"/>
      <c r="J6" s="676"/>
      <c r="K6" s="676"/>
      <c r="L6" s="676"/>
      <c r="M6" s="676"/>
      <c r="N6" s="676"/>
      <c r="O6" s="676"/>
      <c r="P6" s="676"/>
      <c r="Q6" s="676"/>
      <c r="R6" s="676"/>
      <c r="S6" s="677"/>
    </row>
    <row r="7" spans="2:19">
      <c r="B7" s="457"/>
      <c r="C7" s="458"/>
      <c r="D7" s="699"/>
      <c r="E7" s="699"/>
      <c r="F7" s="464"/>
      <c r="H7" s="675"/>
      <c r="I7" s="676"/>
      <c r="J7" s="676"/>
      <c r="K7" s="676"/>
      <c r="L7" s="676"/>
      <c r="M7" s="676"/>
      <c r="N7" s="676"/>
      <c r="O7" s="676"/>
      <c r="P7" s="676"/>
      <c r="Q7" s="676"/>
      <c r="R7" s="676"/>
      <c r="S7" s="677"/>
    </row>
    <row r="8" spans="2:19">
      <c r="B8" s="459"/>
      <c r="C8" s="460" t="s">
        <v>624</v>
      </c>
      <c r="D8" s="404">
        <v>1</v>
      </c>
      <c r="E8" s="466" t="s">
        <v>852</v>
      </c>
      <c r="F8" s="464"/>
      <c r="H8" s="675"/>
      <c r="I8" s="676"/>
      <c r="J8" s="676"/>
      <c r="K8" s="676"/>
      <c r="L8" s="676"/>
      <c r="M8" s="676"/>
      <c r="N8" s="676"/>
      <c r="O8" s="676"/>
      <c r="P8" s="676"/>
      <c r="Q8" s="676"/>
      <c r="R8" s="676"/>
      <c r="S8" s="677"/>
    </row>
    <row r="9" spans="2:19">
      <c r="B9" s="459"/>
      <c r="C9" s="460" t="s">
        <v>216</v>
      </c>
      <c r="D9" s="404"/>
      <c r="E9" s="458" t="s">
        <v>222</v>
      </c>
      <c r="F9" s="464"/>
      <c r="H9" s="675"/>
      <c r="I9" s="676"/>
      <c r="J9" s="676"/>
      <c r="K9" s="676"/>
      <c r="L9" s="676"/>
      <c r="M9" s="676"/>
      <c r="N9" s="676"/>
      <c r="O9" s="676"/>
      <c r="P9" s="676"/>
      <c r="Q9" s="676"/>
      <c r="R9" s="676"/>
      <c r="S9" s="677"/>
    </row>
    <row r="10" spans="2:19">
      <c r="B10" s="459"/>
      <c r="C10" s="460" t="s">
        <v>217</v>
      </c>
      <c r="D10" s="700"/>
      <c r="E10" s="700"/>
      <c r="F10" s="464"/>
      <c r="H10" s="675"/>
      <c r="I10" s="676"/>
      <c r="J10" s="676"/>
      <c r="K10" s="676"/>
      <c r="L10" s="676"/>
      <c r="M10" s="676"/>
      <c r="N10" s="676"/>
      <c r="O10" s="676"/>
      <c r="P10" s="676"/>
      <c r="Q10" s="676"/>
      <c r="R10" s="676"/>
      <c r="S10" s="677"/>
    </row>
    <row r="11" spans="2:19">
      <c r="B11" s="682" t="str">
        <f>IF(OR(D4=0,D8=0,D9=0),"FALTA POR MARACAR INFORMACIÓN DE PROYECTO","")</f>
        <v>FALTA POR MARACAR INFORMACIÓN DE PROYECTO</v>
      </c>
      <c r="C11" s="683"/>
      <c r="D11" s="683"/>
      <c r="E11" s="683"/>
      <c r="F11" s="684"/>
      <c r="H11" s="675"/>
      <c r="I11" s="676"/>
      <c r="J11" s="676"/>
      <c r="K11" s="676"/>
      <c r="L11" s="676"/>
      <c r="M11" s="676"/>
      <c r="N11" s="676"/>
      <c r="O11" s="676"/>
      <c r="P11" s="676"/>
      <c r="Q11" s="676"/>
      <c r="R11" s="676"/>
      <c r="S11" s="677"/>
    </row>
    <row r="12" spans="2:19" ht="15" thickBot="1">
      <c r="B12" s="462"/>
      <c r="C12" s="461"/>
      <c r="D12" s="461"/>
      <c r="E12" s="461"/>
      <c r="F12" s="463"/>
      <c r="H12" s="685" t="s">
        <v>860</v>
      </c>
      <c r="I12" s="686"/>
      <c r="J12" s="686"/>
      <c r="K12" s="686"/>
      <c r="L12" s="686"/>
      <c r="M12" s="686"/>
      <c r="N12" s="686"/>
      <c r="O12" s="686"/>
      <c r="P12" s="686"/>
      <c r="Q12" s="686"/>
      <c r="R12" s="686"/>
      <c r="S12" s="687"/>
    </row>
    <row r="13" spans="2:19" ht="15" thickBot="1"/>
    <row r="14" spans="2:19" ht="15.6">
      <c r="B14" s="693" t="s">
        <v>215</v>
      </c>
      <c r="C14" s="694"/>
      <c r="D14" s="694"/>
      <c r="E14" s="694"/>
      <c r="F14" s="695"/>
      <c r="H14" s="696" t="s">
        <v>220</v>
      </c>
      <c r="I14" s="697"/>
      <c r="J14" s="697"/>
      <c r="K14" s="697"/>
      <c r="L14" s="697"/>
      <c r="M14" s="698"/>
      <c r="O14" s="678" t="s">
        <v>221</v>
      </c>
      <c r="P14" s="679"/>
      <c r="Q14" s="679"/>
      <c r="R14" s="679"/>
      <c r="S14" s="405"/>
    </row>
    <row r="15" spans="2:19" ht="15.6">
      <c r="B15" s="406"/>
      <c r="C15" s="407"/>
      <c r="D15" s="407"/>
      <c r="E15" s="407"/>
      <c r="F15" s="408"/>
      <c r="H15" s="409"/>
      <c r="I15" s="410"/>
      <c r="J15" s="410"/>
      <c r="K15" s="410"/>
      <c r="L15" s="410"/>
      <c r="M15" s="411"/>
      <c r="O15" s="412"/>
      <c r="P15" s="413"/>
      <c r="Q15" s="413"/>
      <c r="R15" s="413"/>
      <c r="S15" s="414"/>
    </row>
    <row r="16" spans="2:19">
      <c r="B16" s="415"/>
      <c r="C16" s="416"/>
      <c r="D16" s="416"/>
      <c r="E16" s="416"/>
      <c r="F16" s="417"/>
      <c r="H16" s="418"/>
      <c r="I16" s="419"/>
      <c r="J16" s="419"/>
      <c r="K16" s="419"/>
      <c r="L16" s="419"/>
      <c r="M16" s="420"/>
      <c r="O16" s="421"/>
      <c r="P16" s="117"/>
      <c r="Q16" s="117"/>
      <c r="R16" s="117"/>
      <c r="S16" s="414"/>
    </row>
    <row r="17" spans="2:19">
      <c r="B17" s="415"/>
      <c r="C17" s="416"/>
      <c r="D17" s="422"/>
      <c r="E17" s="416"/>
      <c r="F17" s="417"/>
      <c r="H17" s="418"/>
      <c r="I17" s="419"/>
      <c r="J17" s="419"/>
      <c r="K17" s="419"/>
      <c r="L17" s="419"/>
      <c r="M17" s="420"/>
      <c r="O17" s="421"/>
      <c r="P17" s="688"/>
      <c r="Q17" s="689"/>
      <c r="R17" s="117"/>
      <c r="S17" s="414"/>
    </row>
    <row r="18" spans="2:19">
      <c r="B18" s="415"/>
      <c r="C18" s="416"/>
      <c r="D18" s="422"/>
      <c r="E18" s="416"/>
      <c r="F18" s="417"/>
      <c r="H18" s="418"/>
      <c r="I18" s="419"/>
      <c r="J18" s="419"/>
      <c r="K18" s="419"/>
      <c r="L18" s="419"/>
      <c r="M18" s="420"/>
      <c r="O18" s="421"/>
      <c r="P18" s="688"/>
      <c r="Q18" s="689"/>
      <c r="R18" s="117"/>
      <c r="S18" s="414"/>
    </row>
    <row r="19" spans="2:19">
      <c r="B19" s="415"/>
      <c r="C19" s="416"/>
      <c r="D19" s="422"/>
      <c r="E19" s="416"/>
      <c r="F19" s="417"/>
      <c r="H19" s="418"/>
      <c r="I19" s="419"/>
      <c r="J19" s="419"/>
      <c r="K19" s="419"/>
      <c r="L19" s="419"/>
      <c r="M19" s="420"/>
      <c r="O19" s="421"/>
      <c r="P19" s="688"/>
      <c r="Q19" s="689"/>
      <c r="R19" s="117"/>
      <c r="S19" s="414"/>
    </row>
    <row r="20" spans="2:19">
      <c r="B20" s="415"/>
      <c r="C20" s="416"/>
      <c r="D20" s="422"/>
      <c r="E20" s="416"/>
      <c r="F20" s="417"/>
      <c r="H20" s="418"/>
      <c r="I20" s="419"/>
      <c r="J20" s="419"/>
      <c r="K20" s="419"/>
      <c r="L20" s="419"/>
      <c r="M20" s="420"/>
      <c r="O20" s="421"/>
      <c r="P20" s="688"/>
      <c r="Q20" s="689"/>
      <c r="R20" s="117"/>
      <c r="S20" s="414"/>
    </row>
    <row r="21" spans="2:19" ht="15" customHeight="1">
      <c r="B21" s="415"/>
      <c r="C21" s="416"/>
      <c r="D21" s="597" t="e">
        <f>#REF!</f>
        <v>#REF!</v>
      </c>
      <c r="E21" s="597"/>
      <c r="F21" s="618"/>
      <c r="H21" s="418"/>
      <c r="I21" s="419"/>
      <c r="J21" s="419"/>
      <c r="K21" s="419"/>
      <c r="L21" s="419"/>
      <c r="M21" s="420"/>
      <c r="O21" s="421"/>
      <c r="P21" s="688"/>
      <c r="Q21" s="689"/>
      <c r="R21" s="117"/>
      <c r="S21" s="414"/>
    </row>
    <row r="22" spans="2:19">
      <c r="B22" s="415"/>
      <c r="C22" s="416"/>
      <c r="D22" s="597"/>
      <c r="E22" s="597"/>
      <c r="F22" s="618"/>
      <c r="H22" s="418"/>
      <c r="I22" s="419"/>
      <c r="J22" s="419"/>
      <c r="K22" s="419"/>
      <c r="L22" s="419"/>
      <c r="M22" s="420"/>
      <c r="O22" s="421"/>
      <c r="P22" s="638"/>
      <c r="Q22" s="638"/>
      <c r="R22" s="117"/>
      <c r="S22" s="414"/>
    </row>
    <row r="23" spans="2:19" ht="15" customHeight="1">
      <c r="B23" s="415"/>
      <c r="C23" s="416"/>
      <c r="D23" s="423"/>
      <c r="E23" s="424"/>
      <c r="F23" s="425"/>
      <c r="H23" s="418"/>
      <c r="I23" s="419"/>
      <c r="J23" s="419"/>
      <c r="K23" s="419"/>
      <c r="L23" s="419"/>
      <c r="M23" s="420"/>
      <c r="O23" s="421"/>
      <c r="P23" s="117"/>
      <c r="Q23" s="117"/>
      <c r="R23" s="117"/>
      <c r="S23" s="414"/>
    </row>
    <row r="24" spans="2:19">
      <c r="B24" s="415"/>
      <c r="C24" s="416"/>
      <c r="D24" s="416"/>
      <c r="E24" s="416"/>
      <c r="F24" s="417"/>
      <c r="H24" s="418"/>
      <c r="I24" s="419"/>
      <c r="J24" s="419"/>
      <c r="K24" s="419"/>
      <c r="L24" s="419"/>
      <c r="M24" s="420"/>
      <c r="O24" s="421"/>
      <c r="P24" s="117"/>
      <c r="Q24" s="117"/>
      <c r="R24" s="117"/>
      <c r="S24" s="414"/>
    </row>
    <row r="25" spans="2:19" ht="15" customHeight="1">
      <c r="B25" s="415"/>
      <c r="C25" s="416"/>
      <c r="D25" s="597" t="e">
        <f>IF('Datos ensayos LUM.'!O6=FALSE,"FALTA POR MARCAR NORMAS A APLICAR","")</f>
        <v>#REF!</v>
      </c>
      <c r="E25" s="597"/>
      <c r="F25" s="417"/>
      <c r="H25" s="426" t="str">
        <f>IF(AND('Datos ensayos LUM.'!I10=TRUE,'RESUMEN PROYECTO LUM'!L25=0),"INDICAR PROFUNDIDAD","")</f>
        <v/>
      </c>
      <c r="I25" s="427"/>
      <c r="J25" s="428"/>
      <c r="K25" s="429" t="s">
        <v>218</v>
      </c>
      <c r="L25" s="387"/>
      <c r="M25" s="420"/>
      <c r="O25" s="421"/>
      <c r="P25" s="117"/>
      <c r="Q25" s="117"/>
      <c r="R25" s="117"/>
      <c r="S25" s="414"/>
    </row>
    <row r="26" spans="2:19">
      <c r="B26" s="415"/>
      <c r="C26" s="416"/>
      <c r="D26" s="617"/>
      <c r="E26" s="617"/>
      <c r="F26" s="417"/>
      <c r="H26" s="430" t="str">
        <f>IF(AND('Datos ensayos LUM.'!K9=TRUE,'RESUMEN PROYECTO LUM'!L26=0),"INDICAR TEMPERATURA","")</f>
        <v/>
      </c>
      <c r="I26" s="431"/>
      <c r="J26" s="428"/>
      <c r="K26" s="429" t="s">
        <v>219</v>
      </c>
      <c r="L26" s="387"/>
      <c r="M26" s="420"/>
      <c r="O26" s="421"/>
      <c r="P26" s="117"/>
      <c r="Q26" s="117"/>
      <c r="R26" s="117"/>
      <c r="S26" s="414"/>
    </row>
    <row r="27" spans="2:19">
      <c r="B27" s="415"/>
      <c r="C27" s="416"/>
      <c r="D27" s="628"/>
      <c r="E27" s="628"/>
      <c r="F27" s="417"/>
      <c r="H27" s="418"/>
      <c r="I27" s="467" t="str">
        <f>IF('Datos ensayos LUM.'!O12=FALSE,"FALTA POR MARCAR PRIMERA CIFRA IP","")</f>
        <v>FALTA POR MARCAR PRIMERA CIFRA IP</v>
      </c>
      <c r="J27" s="8"/>
      <c r="K27" s="8"/>
      <c r="L27" s="8"/>
      <c r="M27" s="420"/>
      <c r="O27" s="421"/>
      <c r="P27" s="117"/>
      <c r="Q27" s="117"/>
      <c r="R27" s="117"/>
      <c r="S27" s="414"/>
    </row>
    <row r="28" spans="2:19" ht="15" thickBot="1">
      <c r="B28" s="432"/>
      <c r="C28" s="433"/>
      <c r="D28" s="433"/>
      <c r="E28" s="433"/>
      <c r="F28" s="434"/>
      <c r="H28" s="418"/>
      <c r="I28" s="467" t="str">
        <f>IF('Datos ensayos LUM.'!O10=FALSE,"FALTA POR MARCAR SEGUNDA CIFRA IP","")</f>
        <v>FALTA POR MARCAR SEGUNDA CIFRA IP</v>
      </c>
      <c r="J28" s="8"/>
      <c r="K28" s="8"/>
      <c r="L28" s="8"/>
      <c r="M28" s="420"/>
      <c r="O28" s="421"/>
      <c r="P28" s="279" t="str">
        <f>IF('Datos ensayos LUM.'!O15=FALSE,"FALTA POR MARCAR INFORMACIÓN IK","")</f>
        <v>FALTA POR MARCAR INFORMACIÓN IK</v>
      </c>
      <c r="Q28" s="18"/>
      <c r="R28" s="18"/>
      <c r="S28" s="414"/>
    </row>
    <row r="29" spans="2:19">
      <c r="B29" s="435" t="s">
        <v>778</v>
      </c>
      <c r="C29" s="436"/>
      <c r="D29" s="436"/>
      <c r="E29" s="436"/>
      <c r="F29" s="437"/>
      <c r="H29" s="418"/>
      <c r="I29" s="419"/>
      <c r="J29" s="419"/>
      <c r="K29" s="419"/>
      <c r="L29" s="419"/>
      <c r="M29" s="420"/>
      <c r="O29" s="421"/>
      <c r="P29" s="117"/>
      <c r="Q29" s="117"/>
      <c r="R29" s="117"/>
      <c r="S29" s="414"/>
    </row>
    <row r="30" spans="2:19">
      <c r="B30" s="619" t="str">
        <f>'Datos ensayos LUM.'!BN10</f>
        <v xml:space="preserve">IEC 60598-1:2024;           </v>
      </c>
      <c r="C30" s="620"/>
      <c r="D30" s="620"/>
      <c r="E30" s="620"/>
      <c r="F30" s="621"/>
      <c r="H30" s="418"/>
      <c r="I30" s="419" t="s">
        <v>98</v>
      </c>
      <c r="J30" s="419"/>
      <c r="K30" s="419"/>
      <c r="L30" s="419"/>
      <c r="M30" s="420"/>
      <c r="O30" s="421"/>
      <c r="P30" s="117" t="s">
        <v>98</v>
      </c>
      <c r="Q30" s="117"/>
      <c r="R30" s="117"/>
      <c r="S30" s="414"/>
    </row>
    <row r="31" spans="2:19">
      <c r="B31" s="619"/>
      <c r="C31" s="620"/>
      <c r="D31" s="620"/>
      <c r="E31" s="620"/>
      <c r="F31" s="621"/>
      <c r="H31" s="418"/>
      <c r="I31" s="629"/>
      <c r="J31" s="630"/>
      <c r="K31" s="630"/>
      <c r="L31" s="631"/>
      <c r="M31" s="420"/>
      <c r="O31" s="421"/>
      <c r="P31" s="638"/>
      <c r="Q31" s="638"/>
      <c r="R31" s="638"/>
      <c r="S31" s="414"/>
    </row>
    <row r="32" spans="2:19">
      <c r="B32" s="619" t="str">
        <f>'Datos ensayos LUM.'!BN12</f>
        <v xml:space="preserve">EN IEC 60598-1:2024 + A11:2024;           </v>
      </c>
      <c r="C32" s="620"/>
      <c r="D32" s="620"/>
      <c r="E32" s="620"/>
      <c r="F32" s="621"/>
      <c r="H32" s="418"/>
      <c r="I32" s="632"/>
      <c r="J32" s="633"/>
      <c r="K32" s="633"/>
      <c r="L32" s="634"/>
      <c r="M32" s="420"/>
      <c r="O32" s="421"/>
      <c r="P32" s="638"/>
      <c r="Q32" s="638"/>
      <c r="R32" s="638"/>
      <c r="S32" s="414"/>
    </row>
    <row r="33" spans="1:19">
      <c r="B33" s="619"/>
      <c r="C33" s="620"/>
      <c r="D33" s="620"/>
      <c r="E33" s="620"/>
      <c r="F33" s="621"/>
      <c r="H33" s="418"/>
      <c r="I33" s="635"/>
      <c r="J33" s="636"/>
      <c r="K33" s="636"/>
      <c r="L33" s="637"/>
      <c r="M33" s="420"/>
      <c r="O33" s="421"/>
      <c r="P33" s="638"/>
      <c r="Q33" s="638"/>
      <c r="R33" s="638"/>
      <c r="S33" s="414"/>
    </row>
    <row r="34" spans="1:19">
      <c r="B34" s="622" t="e">
        <f>'Datos ensayos LUM.'!BN14</f>
        <v>#REF!</v>
      </c>
      <c r="C34" s="623"/>
      <c r="D34" s="623"/>
      <c r="E34" s="623"/>
      <c r="F34" s="624"/>
      <c r="H34" s="418"/>
      <c r="I34" s="419"/>
      <c r="J34" s="419"/>
      <c r="K34" s="419"/>
      <c r="L34" s="419"/>
      <c r="M34" s="420"/>
      <c r="O34" s="421"/>
      <c r="P34" s="117"/>
      <c r="Q34" s="117"/>
      <c r="R34" s="117"/>
      <c r="S34" s="414"/>
    </row>
    <row r="35" spans="1:19" ht="15" thickBot="1">
      <c r="B35" s="625"/>
      <c r="C35" s="626"/>
      <c r="D35" s="626"/>
      <c r="E35" s="626"/>
      <c r="F35" s="627"/>
      <c r="H35" s="438"/>
      <c r="I35" s="439"/>
      <c r="J35" s="439"/>
      <c r="K35" s="439"/>
      <c r="L35" s="439"/>
      <c r="M35" s="440"/>
      <c r="O35" s="441"/>
      <c r="P35" s="442"/>
      <c r="Q35" s="442"/>
      <c r="R35" s="442"/>
      <c r="S35" s="443"/>
    </row>
    <row r="36" spans="1:19" ht="15" thickBot="1"/>
    <row r="37" spans="1:19" ht="15.6">
      <c r="B37" s="474" t="s">
        <v>427</v>
      </c>
      <c r="C37" s="473"/>
      <c r="D37" s="473"/>
      <c r="E37" s="473"/>
      <c r="F37" s="475"/>
      <c r="G37" s="476"/>
      <c r="H37" s="476"/>
      <c r="I37" s="476"/>
      <c r="J37" s="476"/>
      <c r="K37" s="476"/>
      <c r="L37" s="476"/>
      <c r="M37" s="476"/>
      <c r="N37" s="476"/>
      <c r="O37" s="476"/>
      <c r="P37" s="476"/>
      <c r="Q37" s="476"/>
      <c r="R37" s="476"/>
      <c r="S37" s="477"/>
    </row>
    <row r="38" spans="1:19">
      <c r="B38" s="652"/>
      <c r="C38" s="653"/>
      <c r="D38" s="645" t="s">
        <v>846</v>
      </c>
      <c r="E38" s="646"/>
      <c r="F38" s="444">
        <v>1</v>
      </c>
      <c r="G38" s="654" t="s">
        <v>847</v>
      </c>
      <c r="H38" s="655"/>
      <c r="I38" s="655"/>
      <c r="J38" s="655"/>
      <c r="K38" s="655"/>
      <c r="L38" s="655"/>
      <c r="M38" s="655"/>
      <c r="N38" s="655"/>
      <c r="O38" s="655"/>
      <c r="P38" s="655"/>
      <c r="Q38" s="655"/>
      <c r="R38" s="655"/>
      <c r="S38" s="656"/>
    </row>
    <row r="39" spans="1:19" ht="15" thickBot="1">
      <c r="B39" s="660"/>
      <c r="C39" s="661"/>
      <c r="D39" s="662" t="str">
        <f>IF('Datos ensayos LUM.'!I7,"(Escribir el número en columna sombreada)","")</f>
        <v/>
      </c>
      <c r="E39" s="662"/>
      <c r="F39" s="662"/>
      <c r="G39" s="657"/>
      <c r="H39" s="658"/>
      <c r="I39" s="658"/>
      <c r="J39" s="658"/>
      <c r="K39" s="658"/>
      <c r="L39" s="658"/>
      <c r="M39" s="658"/>
      <c r="N39" s="658"/>
      <c r="O39" s="658"/>
      <c r="P39" s="658"/>
      <c r="Q39" s="658"/>
      <c r="R39" s="658"/>
      <c r="S39" s="659"/>
    </row>
    <row r="40" spans="1:19" ht="15" customHeight="1">
      <c r="A40" s="445">
        <f>F38</f>
        <v>1</v>
      </c>
      <c r="B40" s="468" t="str">
        <f>IF($D$8&gt;=1,CONCATENATE("MUESTRA ",A40)," ")</f>
        <v>MUESTRA 1</v>
      </c>
      <c r="C40" s="650" t="str">
        <f>IF($D$8&gt;=1,CONCATENATE("EBP_SAFE",$D$3)," ")</f>
        <v>EBP_SAFENNNNNAAAA</v>
      </c>
      <c r="D40" s="651"/>
      <c r="E40" s="469">
        <f>IF($D$8&gt;=1,IF('Datos ensayos LUM.'!$I$7=TRUE,'RESUMEN PROYECTO LUM'!F40,'RESUMEN PROYECTO LUM'!A40)," ")</f>
        <v>1</v>
      </c>
      <c r="F40" s="446"/>
      <c r="G40" s="666"/>
      <c r="H40" s="666"/>
      <c r="I40" s="666"/>
      <c r="J40" s="666"/>
      <c r="K40" s="666"/>
      <c r="L40" s="666"/>
      <c r="M40" s="666"/>
      <c r="N40" s="666"/>
      <c r="O40" s="666"/>
      <c r="P40" s="666"/>
      <c r="Q40" s="666"/>
      <c r="R40" s="666"/>
      <c r="S40" s="667"/>
    </row>
    <row r="41" spans="1:19">
      <c r="A41" s="445">
        <f>A40+1</f>
        <v>2</v>
      </c>
      <c r="B41" s="233" t="str">
        <f>IF($D$8&gt;=2,CONCATENATE("MUESTRA ",A41)," ")</f>
        <v xml:space="preserve"> </v>
      </c>
      <c r="C41" s="663" t="str">
        <f>IF($D$8&gt;=2,CONCATENATE("EBP_SAFE",$D$3)," ")</f>
        <v xml:space="preserve"> </v>
      </c>
      <c r="D41" s="664"/>
      <c r="E41" s="470" t="str">
        <f>IF($D$8&gt;=2,IF('Datos ensayos LUM.'!$I$7=TRUE,'RESUMEN PROYECTO LUM'!F41,'RESUMEN PROYECTO LUM'!A41)," ")</f>
        <v xml:space="preserve"> </v>
      </c>
      <c r="F41" s="447"/>
      <c r="G41" s="638"/>
      <c r="H41" s="638"/>
      <c r="I41" s="638"/>
      <c r="J41" s="638"/>
      <c r="K41" s="638"/>
      <c r="L41" s="638"/>
      <c r="M41" s="638"/>
      <c r="N41" s="638"/>
      <c r="O41" s="638"/>
      <c r="P41" s="638"/>
      <c r="Q41" s="638"/>
      <c r="R41" s="638"/>
      <c r="S41" s="665"/>
    </row>
    <row r="42" spans="1:19">
      <c r="A42" s="445">
        <f t="shared" ref="A42:A47" si="0">A41+1</f>
        <v>3</v>
      </c>
      <c r="B42" s="233" t="str">
        <f>IF($D$8&gt;=3,CONCATENATE("MUESTRA ",A42)," ")</f>
        <v xml:space="preserve"> </v>
      </c>
      <c r="C42" s="663" t="str">
        <f>IF($D$8&gt;=3,CONCATENATE("EBP_SAFE",$D$3)," ")</f>
        <v xml:space="preserve"> </v>
      </c>
      <c r="D42" s="664"/>
      <c r="E42" s="470" t="str">
        <f>IF($D$8&gt;=3,IF('Datos ensayos LUM.'!$I$7=TRUE,'RESUMEN PROYECTO LUM'!F42,'RESUMEN PROYECTO LUM'!A42)," ")</f>
        <v xml:space="preserve"> </v>
      </c>
      <c r="F42" s="448"/>
      <c r="G42" s="638"/>
      <c r="H42" s="638"/>
      <c r="I42" s="638"/>
      <c r="J42" s="638"/>
      <c r="K42" s="638"/>
      <c r="L42" s="638"/>
      <c r="M42" s="638"/>
      <c r="N42" s="638"/>
      <c r="O42" s="638"/>
      <c r="P42" s="638"/>
      <c r="Q42" s="638"/>
      <c r="R42" s="638"/>
      <c r="S42" s="665"/>
    </row>
    <row r="43" spans="1:19">
      <c r="A43" s="445">
        <f t="shared" si="0"/>
        <v>4</v>
      </c>
      <c r="B43" s="233" t="str">
        <f>IF($D$8&gt;=4,CONCATENATE("MUESTRA ",A43)," ")</f>
        <v xml:space="preserve"> </v>
      </c>
      <c r="C43" s="663" t="str">
        <f>IF($D$8&gt;=4,CONCATENATE("EBP_SAFE",$D$3)," ")</f>
        <v xml:space="preserve"> </v>
      </c>
      <c r="D43" s="664"/>
      <c r="E43" s="470" t="str">
        <f>IF($D$8&gt;=4,IF('Datos ensayos LUM.'!$I$7=TRUE,'RESUMEN PROYECTO LUM'!F43,'RESUMEN PROYECTO LUM'!A43)," ")</f>
        <v xml:space="preserve"> </v>
      </c>
      <c r="F43" s="447"/>
      <c r="G43" s="638"/>
      <c r="H43" s="638"/>
      <c r="I43" s="638"/>
      <c r="J43" s="638"/>
      <c r="K43" s="638"/>
      <c r="L43" s="638"/>
      <c r="M43" s="638"/>
      <c r="N43" s="638"/>
      <c r="O43" s="638"/>
      <c r="P43" s="638"/>
      <c r="Q43" s="638"/>
      <c r="R43" s="638"/>
      <c r="S43" s="665"/>
    </row>
    <row r="44" spans="1:19">
      <c r="A44" s="445">
        <f t="shared" si="0"/>
        <v>5</v>
      </c>
      <c r="B44" s="233" t="str">
        <f>IF($D$8&gt;=5,CONCATENATE("MUESTRA ",A44)," ")</f>
        <v xml:space="preserve"> </v>
      </c>
      <c r="C44" s="663" t="str">
        <f>IF($D$8&gt;=5,CONCATENATE("EBP_SAFE",$D$3)," ")</f>
        <v xml:space="preserve"> </v>
      </c>
      <c r="D44" s="664"/>
      <c r="E44" s="470" t="str">
        <f>IF($D$8&gt;=5,IF('Datos ensayos LUM.'!$I$7=TRUE,'RESUMEN PROYECTO LUM'!F44,'RESUMEN PROYECTO LUM'!A44)," ")</f>
        <v xml:space="preserve"> </v>
      </c>
      <c r="F44" s="447"/>
      <c r="G44" s="638"/>
      <c r="H44" s="638"/>
      <c r="I44" s="638"/>
      <c r="J44" s="638"/>
      <c r="K44" s="638"/>
      <c r="L44" s="638"/>
      <c r="M44" s="638"/>
      <c r="N44" s="638"/>
      <c r="O44" s="638"/>
      <c r="P44" s="638"/>
      <c r="Q44" s="638"/>
      <c r="R44" s="638"/>
      <c r="S44" s="665"/>
    </row>
    <row r="45" spans="1:19">
      <c r="A45" s="445">
        <f t="shared" si="0"/>
        <v>6</v>
      </c>
      <c r="B45" s="233" t="str">
        <f>IF($D$8&gt;=6,CONCATENATE("MUESTRA ",A45)," ")</f>
        <v xml:space="preserve"> </v>
      </c>
      <c r="C45" s="663" t="str">
        <f>IF($D$8&gt;=6,CONCATENATE("EBP_SAFE",$D$3)," ")</f>
        <v xml:space="preserve"> </v>
      </c>
      <c r="D45" s="664"/>
      <c r="E45" s="470" t="str">
        <f>IF($D$8&gt;=6,IF('Datos ensayos LUM.'!$I$7=TRUE,'RESUMEN PROYECTO LUM'!F45,'RESUMEN PROYECTO LUM'!A45)," ")</f>
        <v xml:space="preserve"> </v>
      </c>
      <c r="F45" s="447"/>
      <c r="G45" s="638"/>
      <c r="H45" s="638"/>
      <c r="I45" s="638"/>
      <c r="J45" s="638"/>
      <c r="K45" s="638"/>
      <c r="L45" s="638"/>
      <c r="M45" s="638"/>
      <c r="N45" s="638"/>
      <c r="O45" s="638"/>
      <c r="P45" s="638"/>
      <c r="Q45" s="638"/>
      <c r="R45" s="638"/>
      <c r="S45" s="665"/>
    </row>
    <row r="46" spans="1:19">
      <c r="A46" s="445">
        <f t="shared" si="0"/>
        <v>7</v>
      </c>
      <c r="B46" s="233" t="str">
        <f>IF($D$8&gt;=7,CONCATENATE("MUESTRA ",A46)," ")</f>
        <v xml:space="preserve"> </v>
      </c>
      <c r="C46" s="663" t="str">
        <f>IF($D$8&gt;=7,CONCATENATE("EBP_SAFE",$D$3)," ")</f>
        <v xml:space="preserve"> </v>
      </c>
      <c r="D46" s="664"/>
      <c r="E46" s="470" t="str">
        <f>IF($D$8&gt;=7,IF('Datos ensayos LUM.'!$I$7=TRUE,'RESUMEN PROYECTO LUM'!F46,'RESUMEN PROYECTO LUM'!A46)," ")</f>
        <v xml:space="preserve"> </v>
      </c>
      <c r="F46" s="447"/>
      <c r="G46" s="638"/>
      <c r="H46" s="638"/>
      <c r="I46" s="638"/>
      <c r="J46" s="638"/>
      <c r="K46" s="638"/>
      <c r="L46" s="638"/>
      <c r="M46" s="638"/>
      <c r="N46" s="638"/>
      <c r="O46" s="638"/>
      <c r="P46" s="638"/>
      <c r="Q46" s="638"/>
      <c r="R46" s="638"/>
      <c r="S46" s="665"/>
    </row>
    <row r="47" spans="1:19" ht="15" thickBot="1">
      <c r="A47" s="445">
        <f t="shared" si="0"/>
        <v>8</v>
      </c>
      <c r="B47" s="471" t="str">
        <f>IF($D$8&gt;=8,CONCATENATE("MUESTRA ",A47)," ")</f>
        <v xml:space="preserve"> </v>
      </c>
      <c r="C47" s="668" t="str">
        <f>IF($D$8&gt;=8,CONCATENATE("EBP_SAFE",$D$3)," ")</f>
        <v xml:space="preserve"> </v>
      </c>
      <c r="D47" s="669"/>
      <c r="E47" s="472" t="str">
        <f>IF($D$8&gt;=8,IF('Datos ensayos LUM.'!$I$7=TRUE,'RESUMEN PROYECTO LUM'!F47,'RESUMEN PROYECTO LUM'!A47)," ")</f>
        <v xml:space="preserve"> </v>
      </c>
      <c r="F47" s="449"/>
      <c r="G47" s="670"/>
      <c r="H47" s="670"/>
      <c r="I47" s="670"/>
      <c r="J47" s="670"/>
      <c r="K47" s="670"/>
      <c r="L47" s="670"/>
      <c r="M47" s="670"/>
      <c r="N47" s="670"/>
      <c r="O47" s="670"/>
      <c r="P47" s="670"/>
      <c r="Q47" s="670"/>
      <c r="R47" s="670"/>
      <c r="S47" s="671"/>
    </row>
    <row r="48" spans="1:19" ht="15" thickBot="1">
      <c r="A48" s="450"/>
      <c r="R48" s="451"/>
      <c r="S48" s="451"/>
    </row>
    <row r="49" spans="2:19" ht="15.6">
      <c r="B49" s="642" t="s">
        <v>808</v>
      </c>
      <c r="C49" s="643"/>
      <c r="D49" s="643"/>
      <c r="E49" s="643"/>
      <c r="F49" s="643"/>
      <c r="G49" s="643"/>
      <c r="H49" s="643"/>
      <c r="I49" s="643"/>
      <c r="J49" s="643"/>
      <c r="K49" s="643"/>
      <c r="L49" s="643"/>
      <c r="M49" s="643"/>
      <c r="N49" s="643"/>
      <c r="O49" s="643"/>
      <c r="P49" s="643"/>
      <c r="Q49" s="643"/>
      <c r="R49" s="643"/>
      <c r="S49" s="644"/>
    </row>
    <row r="50" spans="2:19" ht="15" customHeight="1">
      <c r="B50" s="647"/>
      <c r="C50" s="648"/>
      <c r="D50" s="648"/>
      <c r="E50" s="648"/>
      <c r="F50" s="648"/>
      <c r="G50" s="648"/>
      <c r="H50" s="648"/>
      <c r="I50" s="648"/>
      <c r="J50" s="648"/>
      <c r="K50" s="648"/>
      <c r="L50" s="648"/>
      <c r="M50" s="648"/>
      <c r="N50" s="648"/>
      <c r="O50" s="648"/>
      <c r="P50" s="648"/>
      <c r="Q50" s="648"/>
      <c r="R50" s="648"/>
      <c r="S50" s="649"/>
    </row>
    <row r="51" spans="2:19" ht="15" customHeight="1">
      <c r="B51" s="647"/>
      <c r="C51" s="648"/>
      <c r="D51" s="648"/>
      <c r="E51" s="648"/>
      <c r="F51" s="648"/>
      <c r="G51" s="648"/>
      <c r="H51" s="648"/>
      <c r="I51" s="648"/>
      <c r="J51" s="648"/>
      <c r="K51" s="648"/>
      <c r="L51" s="648"/>
      <c r="M51" s="648"/>
      <c r="N51" s="648"/>
      <c r="O51" s="648"/>
      <c r="P51" s="648"/>
      <c r="Q51" s="648"/>
      <c r="R51" s="648"/>
      <c r="S51" s="649"/>
    </row>
    <row r="52" spans="2:19" ht="15" customHeight="1">
      <c r="B52" s="647"/>
      <c r="C52" s="648"/>
      <c r="D52" s="648"/>
      <c r="E52" s="648"/>
      <c r="F52" s="648"/>
      <c r="G52" s="648"/>
      <c r="H52" s="648"/>
      <c r="I52" s="648"/>
      <c r="J52" s="648"/>
      <c r="K52" s="648"/>
      <c r="L52" s="648"/>
      <c r="M52" s="648"/>
      <c r="N52" s="648"/>
      <c r="O52" s="648"/>
      <c r="P52" s="648"/>
      <c r="Q52" s="648"/>
      <c r="R52" s="648"/>
      <c r="S52" s="649"/>
    </row>
    <row r="53" spans="2:19" ht="15" customHeight="1">
      <c r="B53" s="647"/>
      <c r="C53" s="648"/>
      <c r="D53" s="648"/>
      <c r="E53" s="648"/>
      <c r="F53" s="648"/>
      <c r="G53" s="648"/>
      <c r="H53" s="648"/>
      <c r="I53" s="648"/>
      <c r="J53" s="648"/>
      <c r="K53" s="648"/>
      <c r="L53" s="648"/>
      <c r="M53" s="648"/>
      <c r="N53" s="648"/>
      <c r="O53" s="648"/>
      <c r="P53" s="648"/>
      <c r="Q53" s="648"/>
      <c r="R53" s="648"/>
      <c r="S53" s="649"/>
    </row>
    <row r="54" spans="2:19" ht="15" customHeight="1">
      <c r="B54" s="647"/>
      <c r="C54" s="648"/>
      <c r="D54" s="648"/>
      <c r="E54" s="648"/>
      <c r="F54" s="648"/>
      <c r="G54" s="648"/>
      <c r="H54" s="648"/>
      <c r="I54" s="648"/>
      <c r="J54" s="648"/>
      <c r="K54" s="648"/>
      <c r="L54" s="648"/>
      <c r="M54" s="648"/>
      <c r="N54" s="648"/>
      <c r="O54" s="648"/>
      <c r="P54" s="648"/>
      <c r="Q54" s="648"/>
      <c r="R54" s="648"/>
      <c r="S54" s="649"/>
    </row>
    <row r="55" spans="2:19" ht="15" customHeight="1">
      <c r="B55" s="647"/>
      <c r="C55" s="648"/>
      <c r="D55" s="648"/>
      <c r="E55" s="648"/>
      <c r="F55" s="648"/>
      <c r="G55" s="648"/>
      <c r="H55" s="648"/>
      <c r="I55" s="648"/>
      <c r="J55" s="648"/>
      <c r="K55" s="648"/>
      <c r="L55" s="648"/>
      <c r="M55" s="648"/>
      <c r="N55" s="648"/>
      <c r="O55" s="648"/>
      <c r="P55" s="648"/>
      <c r="Q55" s="648"/>
      <c r="R55" s="648"/>
      <c r="S55" s="649"/>
    </row>
    <row r="56" spans="2:19" ht="15" customHeight="1">
      <c r="B56" s="647"/>
      <c r="C56" s="648"/>
      <c r="D56" s="648"/>
      <c r="E56" s="648"/>
      <c r="F56" s="648"/>
      <c r="G56" s="648"/>
      <c r="H56" s="648"/>
      <c r="I56" s="648"/>
      <c r="J56" s="648"/>
      <c r="K56" s="648"/>
      <c r="L56" s="648"/>
      <c r="M56" s="648"/>
      <c r="N56" s="648"/>
      <c r="O56" s="648"/>
      <c r="P56" s="648"/>
      <c r="Q56" s="648"/>
      <c r="R56" s="648"/>
      <c r="S56" s="649"/>
    </row>
    <row r="57" spans="2:19" ht="15" customHeight="1">
      <c r="B57" s="647"/>
      <c r="C57" s="648"/>
      <c r="D57" s="648"/>
      <c r="E57" s="648"/>
      <c r="F57" s="648"/>
      <c r="G57" s="648"/>
      <c r="H57" s="648"/>
      <c r="I57" s="648"/>
      <c r="J57" s="648"/>
      <c r="K57" s="648"/>
      <c r="L57" s="648"/>
      <c r="M57" s="648"/>
      <c r="N57" s="648"/>
      <c r="O57" s="648"/>
      <c r="P57" s="648"/>
      <c r="Q57" s="648"/>
      <c r="R57" s="648"/>
      <c r="S57" s="649"/>
    </row>
    <row r="58" spans="2:19" ht="15" customHeight="1">
      <c r="B58" s="647"/>
      <c r="C58" s="648"/>
      <c r="D58" s="648"/>
      <c r="E58" s="648"/>
      <c r="F58" s="648"/>
      <c r="G58" s="648"/>
      <c r="H58" s="648"/>
      <c r="I58" s="648"/>
      <c r="J58" s="648"/>
      <c r="K58" s="648"/>
      <c r="L58" s="648"/>
      <c r="M58" s="648"/>
      <c r="N58" s="648"/>
      <c r="O58" s="648"/>
      <c r="P58" s="648"/>
      <c r="Q58" s="648"/>
      <c r="R58" s="648"/>
      <c r="S58" s="649"/>
    </row>
    <row r="59" spans="2:19" ht="15" customHeight="1" thickBot="1">
      <c r="B59" s="639"/>
      <c r="C59" s="640"/>
      <c r="D59" s="640"/>
      <c r="E59" s="640"/>
      <c r="F59" s="640"/>
      <c r="G59" s="640"/>
      <c r="H59" s="640"/>
      <c r="I59" s="640"/>
      <c r="J59" s="640"/>
      <c r="K59" s="640"/>
      <c r="L59" s="640"/>
      <c r="M59" s="640"/>
      <c r="N59" s="640"/>
      <c r="O59" s="640"/>
      <c r="P59" s="640"/>
      <c r="Q59" s="640"/>
      <c r="R59" s="640"/>
      <c r="S59" s="641"/>
    </row>
    <row r="60" spans="2:19">
      <c r="H60" s="451"/>
      <c r="I60" s="451"/>
      <c r="J60" s="451"/>
      <c r="K60" s="451"/>
      <c r="L60" s="451"/>
      <c r="M60" s="451"/>
      <c r="N60" s="451"/>
      <c r="O60" s="451"/>
      <c r="P60" s="451"/>
      <c r="Q60" s="451"/>
      <c r="R60" s="451"/>
      <c r="S60" s="451"/>
    </row>
    <row r="61" spans="2:19">
      <c r="H61" s="451"/>
      <c r="I61" s="451"/>
      <c r="J61" s="451"/>
      <c r="K61" s="451"/>
      <c r="L61" s="451"/>
      <c r="M61" s="451"/>
      <c r="N61" s="451"/>
      <c r="O61" s="451"/>
      <c r="P61" s="451"/>
      <c r="Q61" s="451"/>
      <c r="R61" s="451"/>
      <c r="S61" s="451"/>
    </row>
    <row r="62" spans="2:19">
      <c r="H62" s="451"/>
      <c r="I62" s="451"/>
      <c r="J62" s="451"/>
      <c r="K62" s="451"/>
      <c r="L62" s="451"/>
      <c r="M62" s="451"/>
      <c r="N62" s="451"/>
      <c r="O62" s="451"/>
      <c r="P62" s="451"/>
      <c r="Q62" s="451"/>
      <c r="R62" s="451"/>
      <c r="S62" s="451"/>
    </row>
  </sheetData>
  <sheetProtection algorithmName="SHA-512" hashValue="gisClDKm0KBwkFqDYbEgzEVta+HhI9Ae+EnTMEKc9ndB/Mhc8M/HMtyei/zR0M+LexnLhcjBOEWjAyC5NjWCMQ==" saltValue="m7++wJFjEPAJK5O0uq4l5A==" spinCount="100000" sheet="1" objects="1" scenarios="1"/>
  <mergeCells count="69">
    <mergeCell ref="B14:F14"/>
    <mergeCell ref="H14:M14"/>
    <mergeCell ref="D7:E7"/>
    <mergeCell ref="B3:C3"/>
    <mergeCell ref="D10:E10"/>
    <mergeCell ref="D3:E3"/>
    <mergeCell ref="P22:Q22"/>
    <mergeCell ref="O14:R14"/>
    <mergeCell ref="H11:S11"/>
    <mergeCell ref="D4:E4"/>
    <mergeCell ref="B11:F11"/>
    <mergeCell ref="H12:S12"/>
    <mergeCell ref="P17:Q17"/>
    <mergeCell ref="P18:Q18"/>
    <mergeCell ref="B4:C4"/>
    <mergeCell ref="D5:E5"/>
    <mergeCell ref="D6:E6"/>
    <mergeCell ref="H5:S5"/>
    <mergeCell ref="H6:S6"/>
    <mergeCell ref="P19:Q19"/>
    <mergeCell ref="P20:Q20"/>
    <mergeCell ref="P21:Q21"/>
    <mergeCell ref="H2:S2"/>
    <mergeCell ref="H7:S7"/>
    <mergeCell ref="H8:S8"/>
    <mergeCell ref="H9:S9"/>
    <mergeCell ref="H10:S10"/>
    <mergeCell ref="H3:S3"/>
    <mergeCell ref="H4:S4"/>
    <mergeCell ref="C45:D45"/>
    <mergeCell ref="G45:S45"/>
    <mergeCell ref="C46:D46"/>
    <mergeCell ref="G46:S46"/>
    <mergeCell ref="C47:D47"/>
    <mergeCell ref="G47:S47"/>
    <mergeCell ref="G38:S39"/>
    <mergeCell ref="B39:C39"/>
    <mergeCell ref="D39:F39"/>
    <mergeCell ref="C44:D44"/>
    <mergeCell ref="G44:S44"/>
    <mergeCell ref="C42:D42"/>
    <mergeCell ref="G42:S42"/>
    <mergeCell ref="C43:D43"/>
    <mergeCell ref="G43:S43"/>
    <mergeCell ref="G40:S40"/>
    <mergeCell ref="C41:D41"/>
    <mergeCell ref="G41:S41"/>
    <mergeCell ref="I31:L33"/>
    <mergeCell ref="P31:R33"/>
    <mergeCell ref="B59:S59"/>
    <mergeCell ref="B49:S49"/>
    <mergeCell ref="D38:E38"/>
    <mergeCell ref="B54:S54"/>
    <mergeCell ref="B55:S55"/>
    <mergeCell ref="B56:S56"/>
    <mergeCell ref="B57:S57"/>
    <mergeCell ref="B58:S58"/>
    <mergeCell ref="B50:S50"/>
    <mergeCell ref="B51:S51"/>
    <mergeCell ref="B52:S52"/>
    <mergeCell ref="B53:S53"/>
    <mergeCell ref="C40:D40"/>
    <mergeCell ref="B38:C38"/>
    <mergeCell ref="D25:E26"/>
    <mergeCell ref="D21:F22"/>
    <mergeCell ref="B32:F33"/>
    <mergeCell ref="B30:F31"/>
    <mergeCell ref="B34:F35"/>
    <mergeCell ref="D27:E27"/>
  </mergeCells>
  <phoneticPr fontId="2" type="noConversion"/>
  <conditionalFormatting sqref="C8">
    <cfRule type="expression" dxfId="276" priority="6">
      <formula>IF($D$8=0,TRUE,FALSE)</formula>
    </cfRule>
  </conditionalFormatting>
  <conditionalFormatting sqref="C9">
    <cfRule type="expression" dxfId="275" priority="5">
      <formula>IF($D$9=0,TRUE,FALSE)</formula>
    </cfRule>
  </conditionalFormatting>
  <pageMargins left="0.70866141732283472" right="0.70866141732283472" top="0.74803149606299213" bottom="0.74803149606299213" header="0.31496062992125984" footer="0.31496062992125984"/>
  <pageSetup paperSize="9" scale="68" fitToHeight="0" orientation="landscape" cellComments="atEnd"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xdr:col>
                    <xdr:colOff>220980</xdr:colOff>
                    <xdr:row>15</xdr:row>
                    <xdr:rowOff>182880</xdr:rowOff>
                  </from>
                  <to>
                    <xdr:col>2</xdr:col>
                    <xdr:colOff>259080</xdr:colOff>
                    <xdr:row>17</xdr:row>
                    <xdr:rowOff>30480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1</xdr:col>
                    <xdr:colOff>220980</xdr:colOff>
                    <xdr:row>17</xdr:row>
                    <xdr:rowOff>182880</xdr:rowOff>
                  </from>
                  <to>
                    <xdr:col>2</xdr:col>
                    <xdr:colOff>259080</xdr:colOff>
                    <xdr:row>19</xdr:row>
                    <xdr:rowOff>30480</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1</xdr:col>
                    <xdr:colOff>220980</xdr:colOff>
                    <xdr:row>19</xdr:row>
                    <xdr:rowOff>0</xdr:rowOff>
                  </from>
                  <to>
                    <xdr:col>2</xdr:col>
                    <xdr:colOff>259080</xdr:colOff>
                    <xdr:row>20</xdr:row>
                    <xdr:rowOff>30480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1</xdr:col>
                    <xdr:colOff>220980</xdr:colOff>
                    <xdr:row>19</xdr:row>
                    <xdr:rowOff>182880</xdr:rowOff>
                  </from>
                  <to>
                    <xdr:col>2</xdr:col>
                    <xdr:colOff>259080</xdr:colOff>
                    <xdr:row>21</xdr:row>
                    <xdr:rowOff>30480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from>
                    <xdr:col>1</xdr:col>
                    <xdr:colOff>220980</xdr:colOff>
                    <xdr:row>20</xdr:row>
                    <xdr:rowOff>182880</xdr:rowOff>
                  </from>
                  <to>
                    <xdr:col>2</xdr:col>
                    <xdr:colOff>259080</xdr:colOff>
                    <xdr:row>22</xdr:row>
                    <xdr:rowOff>30480</xdr:rowOff>
                  </to>
                </anchor>
              </controlPr>
            </control>
          </mc:Choice>
        </mc:AlternateContent>
        <mc:AlternateContent xmlns:mc="http://schemas.openxmlformats.org/markup-compatibility/2006">
          <mc:Choice Requires="x14">
            <control shapeId="6151" r:id="rId9" name="Check Box 7">
              <controlPr defaultSize="0" autoFill="0" autoLine="0" autoPict="0">
                <anchor moveWithCells="1">
                  <from>
                    <xdr:col>1</xdr:col>
                    <xdr:colOff>220980</xdr:colOff>
                    <xdr:row>21</xdr:row>
                    <xdr:rowOff>182880</xdr:rowOff>
                  </from>
                  <to>
                    <xdr:col>2</xdr:col>
                    <xdr:colOff>259080</xdr:colOff>
                    <xdr:row>23</xdr:row>
                    <xdr:rowOff>0</xdr:rowOff>
                  </to>
                </anchor>
              </controlPr>
            </control>
          </mc:Choice>
        </mc:AlternateContent>
        <mc:AlternateContent xmlns:mc="http://schemas.openxmlformats.org/markup-compatibility/2006">
          <mc:Choice Requires="x14">
            <control shapeId="6152" r:id="rId10" name="Check Box 8">
              <controlPr defaultSize="0" autoFill="0" autoLine="0" autoPict="0">
                <anchor moveWithCells="1">
                  <from>
                    <xdr:col>1</xdr:col>
                    <xdr:colOff>220980</xdr:colOff>
                    <xdr:row>22</xdr:row>
                    <xdr:rowOff>144780</xdr:rowOff>
                  </from>
                  <to>
                    <xdr:col>2</xdr:col>
                    <xdr:colOff>259080</xdr:colOff>
                    <xdr:row>23</xdr:row>
                    <xdr:rowOff>182880</xdr:rowOff>
                  </to>
                </anchor>
              </controlPr>
            </control>
          </mc:Choice>
        </mc:AlternateContent>
        <mc:AlternateContent xmlns:mc="http://schemas.openxmlformats.org/markup-compatibility/2006">
          <mc:Choice Requires="x14">
            <control shapeId="6153" r:id="rId11" name="Check Box 9">
              <controlPr defaultSize="0" autoFill="0" autoLine="0" autoPict="0">
                <anchor moveWithCells="1">
                  <from>
                    <xdr:col>1</xdr:col>
                    <xdr:colOff>220980</xdr:colOff>
                    <xdr:row>23</xdr:row>
                    <xdr:rowOff>144780</xdr:rowOff>
                  </from>
                  <to>
                    <xdr:col>2</xdr:col>
                    <xdr:colOff>259080</xdr:colOff>
                    <xdr:row>24</xdr:row>
                    <xdr:rowOff>182880</xdr:rowOff>
                  </to>
                </anchor>
              </controlPr>
            </control>
          </mc:Choice>
        </mc:AlternateContent>
        <mc:AlternateContent xmlns:mc="http://schemas.openxmlformats.org/markup-compatibility/2006">
          <mc:Choice Requires="x14">
            <control shapeId="6154" r:id="rId12" name="Check Box 10">
              <controlPr defaultSize="0" autoFill="0" autoLine="0" autoPict="0">
                <anchor moveWithCells="1">
                  <from>
                    <xdr:col>1</xdr:col>
                    <xdr:colOff>220980</xdr:colOff>
                    <xdr:row>24</xdr:row>
                    <xdr:rowOff>144780</xdr:rowOff>
                  </from>
                  <to>
                    <xdr:col>2</xdr:col>
                    <xdr:colOff>259080</xdr:colOff>
                    <xdr:row>25</xdr:row>
                    <xdr:rowOff>182880</xdr:rowOff>
                  </to>
                </anchor>
              </controlPr>
            </control>
          </mc:Choice>
        </mc:AlternateContent>
        <mc:AlternateContent xmlns:mc="http://schemas.openxmlformats.org/markup-compatibility/2006">
          <mc:Choice Requires="x14">
            <control shapeId="6155" r:id="rId13" name="Check Box 11">
              <controlPr defaultSize="0" autoFill="0" autoLine="0" autoPict="0">
                <anchor moveWithCells="1">
                  <from>
                    <xdr:col>1</xdr:col>
                    <xdr:colOff>220980</xdr:colOff>
                    <xdr:row>25</xdr:row>
                    <xdr:rowOff>144780</xdr:rowOff>
                  </from>
                  <to>
                    <xdr:col>2</xdr:col>
                    <xdr:colOff>259080</xdr:colOff>
                    <xdr:row>26</xdr:row>
                    <xdr:rowOff>182880</xdr:rowOff>
                  </to>
                </anchor>
              </controlPr>
            </control>
          </mc:Choice>
        </mc:AlternateContent>
        <mc:AlternateContent xmlns:mc="http://schemas.openxmlformats.org/markup-compatibility/2006">
          <mc:Choice Requires="x14">
            <control shapeId="6156" r:id="rId14" name="Check Box 12">
              <controlPr defaultSize="0" autoFill="0" autoLine="0" autoPict="0">
                <anchor moveWithCells="1">
                  <from>
                    <xdr:col>1</xdr:col>
                    <xdr:colOff>220980</xdr:colOff>
                    <xdr:row>16</xdr:row>
                    <xdr:rowOff>182880</xdr:rowOff>
                  </from>
                  <to>
                    <xdr:col>2</xdr:col>
                    <xdr:colOff>259080</xdr:colOff>
                    <xdr:row>18</xdr:row>
                    <xdr:rowOff>30480</xdr:rowOff>
                  </to>
                </anchor>
              </controlPr>
            </control>
          </mc:Choice>
        </mc:AlternateContent>
        <mc:AlternateContent xmlns:mc="http://schemas.openxmlformats.org/markup-compatibility/2006">
          <mc:Choice Requires="x14">
            <control shapeId="6157" r:id="rId15" name="Check Box 13">
              <controlPr defaultSize="0" autoFill="0" autoLine="0" autoPict="0">
                <anchor moveWithCells="1">
                  <from>
                    <xdr:col>3</xdr:col>
                    <xdr:colOff>45720</xdr:colOff>
                    <xdr:row>16</xdr:row>
                    <xdr:rowOff>167640</xdr:rowOff>
                  </from>
                  <to>
                    <xdr:col>5</xdr:col>
                    <xdr:colOff>342900</xdr:colOff>
                    <xdr:row>18</xdr:row>
                    <xdr:rowOff>30480</xdr:rowOff>
                  </to>
                </anchor>
              </controlPr>
            </control>
          </mc:Choice>
        </mc:AlternateContent>
        <mc:AlternateContent xmlns:mc="http://schemas.openxmlformats.org/markup-compatibility/2006">
          <mc:Choice Requires="x14">
            <control shapeId="6158" r:id="rId16" name="Check Box 14">
              <controlPr defaultSize="0" autoFill="0" autoLine="0" autoPict="0">
                <anchor moveWithCells="1">
                  <from>
                    <xdr:col>3</xdr:col>
                    <xdr:colOff>45720</xdr:colOff>
                    <xdr:row>18</xdr:row>
                    <xdr:rowOff>129540</xdr:rowOff>
                  </from>
                  <to>
                    <xdr:col>4</xdr:col>
                    <xdr:colOff>541020</xdr:colOff>
                    <xdr:row>19</xdr:row>
                    <xdr:rowOff>182880</xdr:rowOff>
                  </to>
                </anchor>
              </controlPr>
            </control>
          </mc:Choice>
        </mc:AlternateContent>
        <mc:AlternateContent xmlns:mc="http://schemas.openxmlformats.org/markup-compatibility/2006">
          <mc:Choice Requires="x14">
            <control shapeId="6159" r:id="rId17" name="Check Box 15">
              <controlPr defaultSize="0" autoFill="0" autoLine="0" autoPict="0">
                <anchor moveWithCells="1">
                  <from>
                    <xdr:col>3</xdr:col>
                    <xdr:colOff>68580</xdr:colOff>
                    <xdr:row>21</xdr:row>
                    <xdr:rowOff>182880</xdr:rowOff>
                  </from>
                  <to>
                    <xdr:col>5</xdr:col>
                    <xdr:colOff>373380</xdr:colOff>
                    <xdr:row>23</xdr:row>
                    <xdr:rowOff>30480</xdr:rowOff>
                  </to>
                </anchor>
              </controlPr>
            </control>
          </mc:Choice>
        </mc:AlternateContent>
        <mc:AlternateContent xmlns:mc="http://schemas.openxmlformats.org/markup-compatibility/2006">
          <mc:Choice Requires="x14">
            <control shapeId="6160" r:id="rId18" name="Check Box 16">
              <controlPr defaultSize="0" autoFill="0" autoLine="0" autoPict="0">
                <anchor moveWithCells="1">
                  <from>
                    <xdr:col>8</xdr:col>
                    <xdr:colOff>30480</xdr:colOff>
                    <xdr:row>15</xdr:row>
                    <xdr:rowOff>152400</xdr:rowOff>
                  </from>
                  <to>
                    <xdr:col>8</xdr:col>
                    <xdr:colOff>495300</xdr:colOff>
                    <xdr:row>17</xdr:row>
                    <xdr:rowOff>30480</xdr:rowOff>
                  </to>
                </anchor>
              </controlPr>
            </control>
          </mc:Choice>
        </mc:AlternateContent>
        <mc:AlternateContent xmlns:mc="http://schemas.openxmlformats.org/markup-compatibility/2006">
          <mc:Choice Requires="x14">
            <control shapeId="6161" r:id="rId19" name="Check Box 17">
              <controlPr defaultSize="0" autoFill="0" autoLine="0" autoPict="0">
                <anchor moveWithCells="1">
                  <from>
                    <xdr:col>8</xdr:col>
                    <xdr:colOff>30480</xdr:colOff>
                    <xdr:row>16</xdr:row>
                    <xdr:rowOff>182880</xdr:rowOff>
                  </from>
                  <to>
                    <xdr:col>8</xdr:col>
                    <xdr:colOff>525780</xdr:colOff>
                    <xdr:row>18</xdr:row>
                    <xdr:rowOff>30480</xdr:rowOff>
                  </to>
                </anchor>
              </controlPr>
            </control>
          </mc:Choice>
        </mc:AlternateContent>
        <mc:AlternateContent xmlns:mc="http://schemas.openxmlformats.org/markup-compatibility/2006">
          <mc:Choice Requires="x14">
            <control shapeId="6162" r:id="rId20" name="Check Box 18">
              <controlPr defaultSize="0" autoFill="0" autoLine="0" autoPict="0">
                <anchor moveWithCells="1">
                  <from>
                    <xdr:col>8</xdr:col>
                    <xdr:colOff>30480</xdr:colOff>
                    <xdr:row>17</xdr:row>
                    <xdr:rowOff>182880</xdr:rowOff>
                  </from>
                  <to>
                    <xdr:col>8</xdr:col>
                    <xdr:colOff>533400</xdr:colOff>
                    <xdr:row>19</xdr:row>
                    <xdr:rowOff>30480</xdr:rowOff>
                  </to>
                </anchor>
              </controlPr>
            </control>
          </mc:Choice>
        </mc:AlternateContent>
        <mc:AlternateContent xmlns:mc="http://schemas.openxmlformats.org/markup-compatibility/2006">
          <mc:Choice Requires="x14">
            <control shapeId="6163" r:id="rId21" name="Check Box 19">
              <controlPr defaultSize="0" autoFill="0" autoLine="0" autoPict="0">
                <anchor moveWithCells="1">
                  <from>
                    <xdr:col>8</xdr:col>
                    <xdr:colOff>30480</xdr:colOff>
                    <xdr:row>18</xdr:row>
                    <xdr:rowOff>182880</xdr:rowOff>
                  </from>
                  <to>
                    <xdr:col>8</xdr:col>
                    <xdr:colOff>533400</xdr:colOff>
                    <xdr:row>20</xdr:row>
                    <xdr:rowOff>30480</xdr:rowOff>
                  </to>
                </anchor>
              </controlPr>
            </control>
          </mc:Choice>
        </mc:AlternateContent>
        <mc:AlternateContent xmlns:mc="http://schemas.openxmlformats.org/markup-compatibility/2006">
          <mc:Choice Requires="x14">
            <control shapeId="6164" r:id="rId22" name="Check Box 20">
              <controlPr defaultSize="0" autoFill="0" autoLine="0" autoPict="0">
                <anchor moveWithCells="1">
                  <from>
                    <xdr:col>8</xdr:col>
                    <xdr:colOff>30480</xdr:colOff>
                    <xdr:row>19</xdr:row>
                    <xdr:rowOff>152400</xdr:rowOff>
                  </from>
                  <to>
                    <xdr:col>8</xdr:col>
                    <xdr:colOff>533400</xdr:colOff>
                    <xdr:row>21</xdr:row>
                    <xdr:rowOff>30480</xdr:rowOff>
                  </to>
                </anchor>
              </controlPr>
            </control>
          </mc:Choice>
        </mc:AlternateContent>
        <mc:AlternateContent xmlns:mc="http://schemas.openxmlformats.org/markup-compatibility/2006">
          <mc:Choice Requires="x14">
            <control shapeId="6165" r:id="rId23" name="Check Box 21">
              <controlPr defaultSize="0" autoFill="0" autoLine="0" autoPict="0">
                <anchor moveWithCells="1">
                  <from>
                    <xdr:col>9</xdr:col>
                    <xdr:colOff>30480</xdr:colOff>
                    <xdr:row>15</xdr:row>
                    <xdr:rowOff>182880</xdr:rowOff>
                  </from>
                  <to>
                    <xdr:col>9</xdr:col>
                    <xdr:colOff>563880</xdr:colOff>
                    <xdr:row>17</xdr:row>
                    <xdr:rowOff>30480</xdr:rowOff>
                  </to>
                </anchor>
              </controlPr>
            </control>
          </mc:Choice>
        </mc:AlternateContent>
        <mc:AlternateContent xmlns:mc="http://schemas.openxmlformats.org/markup-compatibility/2006">
          <mc:Choice Requires="x14">
            <control shapeId="6166" r:id="rId24" name="Check Box 22">
              <controlPr defaultSize="0" autoFill="0" autoLine="0" autoPict="0">
                <anchor moveWithCells="1">
                  <from>
                    <xdr:col>9</xdr:col>
                    <xdr:colOff>30480</xdr:colOff>
                    <xdr:row>16</xdr:row>
                    <xdr:rowOff>182880</xdr:rowOff>
                  </from>
                  <to>
                    <xdr:col>9</xdr:col>
                    <xdr:colOff>533400</xdr:colOff>
                    <xdr:row>18</xdr:row>
                    <xdr:rowOff>30480</xdr:rowOff>
                  </to>
                </anchor>
              </controlPr>
            </control>
          </mc:Choice>
        </mc:AlternateContent>
        <mc:AlternateContent xmlns:mc="http://schemas.openxmlformats.org/markup-compatibility/2006">
          <mc:Choice Requires="x14">
            <control shapeId="6167" r:id="rId25" name="Check Box 23">
              <controlPr defaultSize="0" autoFill="0" autoLine="0" autoPict="0">
                <anchor moveWithCells="1">
                  <from>
                    <xdr:col>9</xdr:col>
                    <xdr:colOff>30480</xdr:colOff>
                    <xdr:row>17</xdr:row>
                    <xdr:rowOff>182880</xdr:rowOff>
                  </from>
                  <to>
                    <xdr:col>9</xdr:col>
                    <xdr:colOff>487680</xdr:colOff>
                    <xdr:row>19</xdr:row>
                    <xdr:rowOff>30480</xdr:rowOff>
                  </to>
                </anchor>
              </controlPr>
            </control>
          </mc:Choice>
        </mc:AlternateContent>
        <mc:AlternateContent xmlns:mc="http://schemas.openxmlformats.org/markup-compatibility/2006">
          <mc:Choice Requires="x14">
            <control shapeId="6168" r:id="rId26" name="Check Box 24">
              <controlPr defaultSize="0" autoFill="0" autoLine="0" autoPict="0">
                <anchor moveWithCells="1">
                  <from>
                    <xdr:col>9</xdr:col>
                    <xdr:colOff>30480</xdr:colOff>
                    <xdr:row>18</xdr:row>
                    <xdr:rowOff>182880</xdr:rowOff>
                  </from>
                  <to>
                    <xdr:col>9</xdr:col>
                    <xdr:colOff>525780</xdr:colOff>
                    <xdr:row>20</xdr:row>
                    <xdr:rowOff>30480</xdr:rowOff>
                  </to>
                </anchor>
              </controlPr>
            </control>
          </mc:Choice>
        </mc:AlternateContent>
        <mc:AlternateContent xmlns:mc="http://schemas.openxmlformats.org/markup-compatibility/2006">
          <mc:Choice Requires="x14">
            <control shapeId="6169" r:id="rId27" name="Check Box 25">
              <controlPr defaultSize="0" autoFill="0" autoLine="0" autoPict="0">
                <anchor moveWithCells="1">
                  <from>
                    <xdr:col>9</xdr:col>
                    <xdr:colOff>30480</xdr:colOff>
                    <xdr:row>19</xdr:row>
                    <xdr:rowOff>152400</xdr:rowOff>
                  </from>
                  <to>
                    <xdr:col>9</xdr:col>
                    <xdr:colOff>533400</xdr:colOff>
                    <xdr:row>21</xdr:row>
                    <xdr:rowOff>30480</xdr:rowOff>
                  </to>
                </anchor>
              </controlPr>
            </control>
          </mc:Choice>
        </mc:AlternateContent>
        <mc:AlternateContent xmlns:mc="http://schemas.openxmlformats.org/markup-compatibility/2006">
          <mc:Choice Requires="x14">
            <control shapeId="6170" r:id="rId28" name="Check Box 26">
              <controlPr defaultSize="0" autoFill="0" autoLine="0" autoPict="0">
                <anchor moveWithCells="1">
                  <from>
                    <xdr:col>9</xdr:col>
                    <xdr:colOff>30480</xdr:colOff>
                    <xdr:row>20</xdr:row>
                    <xdr:rowOff>182880</xdr:rowOff>
                  </from>
                  <to>
                    <xdr:col>9</xdr:col>
                    <xdr:colOff>533400</xdr:colOff>
                    <xdr:row>21</xdr:row>
                    <xdr:rowOff>182880</xdr:rowOff>
                  </to>
                </anchor>
              </controlPr>
            </control>
          </mc:Choice>
        </mc:AlternateContent>
        <mc:AlternateContent xmlns:mc="http://schemas.openxmlformats.org/markup-compatibility/2006">
          <mc:Choice Requires="x14">
            <control shapeId="6171" r:id="rId29" name="Check Box 27">
              <controlPr defaultSize="0" autoFill="0" autoLine="0" autoPict="0">
                <anchor moveWithCells="1">
                  <from>
                    <xdr:col>9</xdr:col>
                    <xdr:colOff>30480</xdr:colOff>
                    <xdr:row>21</xdr:row>
                    <xdr:rowOff>182880</xdr:rowOff>
                  </from>
                  <to>
                    <xdr:col>9</xdr:col>
                    <xdr:colOff>563880</xdr:colOff>
                    <xdr:row>22</xdr:row>
                    <xdr:rowOff>182880</xdr:rowOff>
                  </to>
                </anchor>
              </controlPr>
            </control>
          </mc:Choice>
        </mc:AlternateContent>
        <mc:AlternateContent xmlns:mc="http://schemas.openxmlformats.org/markup-compatibility/2006">
          <mc:Choice Requires="x14">
            <control shapeId="6172" r:id="rId30" name="Check Box 28">
              <controlPr defaultSize="0" autoFill="0" autoLine="0" autoPict="0">
                <anchor moveWithCells="1">
                  <from>
                    <xdr:col>9</xdr:col>
                    <xdr:colOff>30480</xdr:colOff>
                    <xdr:row>22</xdr:row>
                    <xdr:rowOff>182880</xdr:rowOff>
                  </from>
                  <to>
                    <xdr:col>10</xdr:col>
                    <xdr:colOff>76200</xdr:colOff>
                    <xdr:row>24</xdr:row>
                    <xdr:rowOff>30480</xdr:rowOff>
                  </to>
                </anchor>
              </controlPr>
            </control>
          </mc:Choice>
        </mc:AlternateContent>
        <mc:AlternateContent xmlns:mc="http://schemas.openxmlformats.org/markup-compatibility/2006">
          <mc:Choice Requires="x14">
            <control shapeId="6173" r:id="rId31" name="Check Box 29">
              <controlPr defaultSize="0" autoFill="0" autoLine="0" autoPict="0">
                <anchor moveWithCells="1">
                  <from>
                    <xdr:col>9</xdr:col>
                    <xdr:colOff>30480</xdr:colOff>
                    <xdr:row>23</xdr:row>
                    <xdr:rowOff>182880</xdr:rowOff>
                  </from>
                  <to>
                    <xdr:col>9</xdr:col>
                    <xdr:colOff>525780</xdr:colOff>
                    <xdr:row>24</xdr:row>
                    <xdr:rowOff>182880</xdr:rowOff>
                  </to>
                </anchor>
              </controlPr>
            </control>
          </mc:Choice>
        </mc:AlternateContent>
        <mc:AlternateContent xmlns:mc="http://schemas.openxmlformats.org/markup-compatibility/2006">
          <mc:Choice Requires="x14">
            <control shapeId="6174" r:id="rId32" name="Check Box 30">
              <controlPr defaultSize="0" autoFill="0" autoLine="0" autoPict="0">
                <anchor moveWithCells="1">
                  <from>
                    <xdr:col>9</xdr:col>
                    <xdr:colOff>30480</xdr:colOff>
                    <xdr:row>24</xdr:row>
                    <xdr:rowOff>182880</xdr:rowOff>
                  </from>
                  <to>
                    <xdr:col>9</xdr:col>
                    <xdr:colOff>563880</xdr:colOff>
                    <xdr:row>26</xdr:row>
                    <xdr:rowOff>0</xdr:rowOff>
                  </to>
                </anchor>
              </controlPr>
            </control>
          </mc:Choice>
        </mc:AlternateContent>
        <mc:AlternateContent xmlns:mc="http://schemas.openxmlformats.org/markup-compatibility/2006">
          <mc:Choice Requires="x14">
            <control shapeId="6180" r:id="rId33" name="Check Box 36">
              <controlPr defaultSize="0" autoFill="0" autoLine="0" autoPict="0">
                <anchor moveWithCells="1">
                  <from>
                    <xdr:col>14</xdr:col>
                    <xdr:colOff>411480</xdr:colOff>
                    <xdr:row>14</xdr:row>
                    <xdr:rowOff>30480</xdr:rowOff>
                  </from>
                  <to>
                    <xdr:col>17</xdr:col>
                    <xdr:colOff>457200</xdr:colOff>
                    <xdr:row>15</xdr:row>
                    <xdr:rowOff>68580</xdr:rowOff>
                  </to>
                </anchor>
              </controlPr>
            </control>
          </mc:Choice>
        </mc:AlternateContent>
        <mc:AlternateContent xmlns:mc="http://schemas.openxmlformats.org/markup-compatibility/2006">
          <mc:Choice Requires="x14">
            <control shapeId="6181" r:id="rId34" name="Check Box 37">
              <controlPr defaultSize="0" autoFill="0" autoLine="0" autoPict="0">
                <anchor moveWithCells="1">
                  <from>
                    <xdr:col>14</xdr:col>
                    <xdr:colOff>152400</xdr:colOff>
                    <xdr:row>15</xdr:row>
                    <xdr:rowOff>182880</xdr:rowOff>
                  </from>
                  <to>
                    <xdr:col>14</xdr:col>
                    <xdr:colOff>640080</xdr:colOff>
                    <xdr:row>17</xdr:row>
                    <xdr:rowOff>30480</xdr:rowOff>
                  </to>
                </anchor>
              </controlPr>
            </control>
          </mc:Choice>
        </mc:AlternateContent>
        <mc:AlternateContent xmlns:mc="http://schemas.openxmlformats.org/markup-compatibility/2006">
          <mc:Choice Requires="x14">
            <control shapeId="6182" r:id="rId35" name="Check Box 38">
              <controlPr defaultSize="0" autoFill="0" autoLine="0" autoPict="0">
                <anchor moveWithCells="1">
                  <from>
                    <xdr:col>14</xdr:col>
                    <xdr:colOff>152400</xdr:colOff>
                    <xdr:row>16</xdr:row>
                    <xdr:rowOff>182880</xdr:rowOff>
                  </from>
                  <to>
                    <xdr:col>14</xdr:col>
                    <xdr:colOff>640080</xdr:colOff>
                    <xdr:row>18</xdr:row>
                    <xdr:rowOff>38100</xdr:rowOff>
                  </to>
                </anchor>
              </controlPr>
            </control>
          </mc:Choice>
        </mc:AlternateContent>
        <mc:AlternateContent xmlns:mc="http://schemas.openxmlformats.org/markup-compatibility/2006">
          <mc:Choice Requires="x14">
            <control shapeId="6183" r:id="rId36" name="Check Box 39">
              <controlPr defaultSize="0" autoFill="0" autoLine="0" autoPict="0">
                <anchor moveWithCells="1">
                  <from>
                    <xdr:col>14</xdr:col>
                    <xdr:colOff>152400</xdr:colOff>
                    <xdr:row>17</xdr:row>
                    <xdr:rowOff>182880</xdr:rowOff>
                  </from>
                  <to>
                    <xdr:col>14</xdr:col>
                    <xdr:colOff>640080</xdr:colOff>
                    <xdr:row>19</xdr:row>
                    <xdr:rowOff>30480</xdr:rowOff>
                  </to>
                </anchor>
              </controlPr>
            </control>
          </mc:Choice>
        </mc:AlternateContent>
        <mc:AlternateContent xmlns:mc="http://schemas.openxmlformats.org/markup-compatibility/2006">
          <mc:Choice Requires="x14">
            <control shapeId="6184" r:id="rId37" name="Check Box 40">
              <controlPr defaultSize="0" autoFill="0" autoLine="0" autoPict="0">
                <anchor moveWithCells="1">
                  <from>
                    <xdr:col>14</xdr:col>
                    <xdr:colOff>144780</xdr:colOff>
                    <xdr:row>18</xdr:row>
                    <xdr:rowOff>182880</xdr:rowOff>
                  </from>
                  <to>
                    <xdr:col>14</xdr:col>
                    <xdr:colOff>609600</xdr:colOff>
                    <xdr:row>20</xdr:row>
                    <xdr:rowOff>30480</xdr:rowOff>
                  </to>
                </anchor>
              </controlPr>
            </control>
          </mc:Choice>
        </mc:AlternateContent>
        <mc:AlternateContent xmlns:mc="http://schemas.openxmlformats.org/markup-compatibility/2006">
          <mc:Choice Requires="x14">
            <control shapeId="6185" r:id="rId38" name="Check Box 41">
              <controlPr defaultSize="0" autoFill="0" autoLine="0" autoPict="0">
                <anchor moveWithCells="1">
                  <from>
                    <xdr:col>14</xdr:col>
                    <xdr:colOff>144780</xdr:colOff>
                    <xdr:row>19</xdr:row>
                    <xdr:rowOff>182880</xdr:rowOff>
                  </from>
                  <to>
                    <xdr:col>14</xdr:col>
                    <xdr:colOff>609600</xdr:colOff>
                    <xdr:row>21</xdr:row>
                    <xdr:rowOff>30480</xdr:rowOff>
                  </to>
                </anchor>
              </controlPr>
            </control>
          </mc:Choice>
        </mc:AlternateContent>
        <mc:AlternateContent xmlns:mc="http://schemas.openxmlformats.org/markup-compatibility/2006">
          <mc:Choice Requires="x14">
            <control shapeId="6186" r:id="rId39" name="Check Box 42">
              <controlPr defaultSize="0" autoFill="0" autoLine="0" autoPict="0">
                <anchor moveWithCells="1">
                  <from>
                    <xdr:col>14</xdr:col>
                    <xdr:colOff>144780</xdr:colOff>
                    <xdr:row>20</xdr:row>
                    <xdr:rowOff>182880</xdr:rowOff>
                  </from>
                  <to>
                    <xdr:col>14</xdr:col>
                    <xdr:colOff>609600</xdr:colOff>
                    <xdr:row>22</xdr:row>
                    <xdr:rowOff>30480</xdr:rowOff>
                  </to>
                </anchor>
              </controlPr>
            </control>
          </mc:Choice>
        </mc:AlternateContent>
        <mc:AlternateContent xmlns:mc="http://schemas.openxmlformats.org/markup-compatibility/2006">
          <mc:Choice Requires="x14">
            <control shapeId="6190" r:id="rId40" name="Option Button 46">
              <controlPr defaultSize="0" autoFill="0" autoLine="0" autoPict="0">
                <anchor moveWithCells="1">
                  <from>
                    <xdr:col>9</xdr:col>
                    <xdr:colOff>777240</xdr:colOff>
                    <xdr:row>16</xdr:row>
                    <xdr:rowOff>99060</xdr:rowOff>
                  </from>
                  <to>
                    <xdr:col>12</xdr:col>
                    <xdr:colOff>502920</xdr:colOff>
                    <xdr:row>17</xdr:row>
                    <xdr:rowOff>144780</xdr:rowOff>
                  </to>
                </anchor>
              </controlPr>
            </control>
          </mc:Choice>
        </mc:AlternateContent>
        <mc:AlternateContent xmlns:mc="http://schemas.openxmlformats.org/markup-compatibility/2006">
          <mc:Choice Requires="x14">
            <control shapeId="6191" r:id="rId41" name="Option Button 47">
              <controlPr defaultSize="0" autoFill="0" autoLine="0" autoPict="0">
                <anchor moveWithCells="1">
                  <from>
                    <xdr:col>9</xdr:col>
                    <xdr:colOff>777240</xdr:colOff>
                    <xdr:row>17</xdr:row>
                    <xdr:rowOff>99060</xdr:rowOff>
                  </from>
                  <to>
                    <xdr:col>12</xdr:col>
                    <xdr:colOff>556260</xdr:colOff>
                    <xdr:row>18</xdr:row>
                    <xdr:rowOff>175260</xdr:rowOff>
                  </to>
                </anchor>
              </controlPr>
            </control>
          </mc:Choice>
        </mc:AlternateContent>
        <mc:AlternateContent xmlns:mc="http://schemas.openxmlformats.org/markup-compatibility/2006">
          <mc:Choice Requires="x14">
            <control shapeId="6192" r:id="rId42" name="Group Box 48">
              <controlPr defaultSize="0" autoFill="0" autoPict="0" altText=" ">
                <anchor moveWithCells="1">
                  <from>
                    <xdr:col>9</xdr:col>
                    <xdr:colOff>693420</xdr:colOff>
                    <xdr:row>15</xdr:row>
                    <xdr:rowOff>182880</xdr:rowOff>
                  </from>
                  <to>
                    <xdr:col>12</xdr:col>
                    <xdr:colOff>632460</xdr:colOff>
                    <xdr:row>19</xdr:row>
                    <xdr:rowOff>30480</xdr:rowOff>
                  </to>
                </anchor>
              </controlPr>
            </control>
          </mc:Choice>
        </mc:AlternateContent>
        <mc:AlternateContent xmlns:mc="http://schemas.openxmlformats.org/markup-compatibility/2006">
          <mc:Choice Requires="x14">
            <control shapeId="6193" r:id="rId43" name="Option Button 49">
              <controlPr defaultSize="0" autoFill="0" autoLine="0" autoPict="0">
                <anchor moveWithCells="1">
                  <from>
                    <xdr:col>14</xdr:col>
                    <xdr:colOff>632460</xdr:colOff>
                    <xdr:row>23</xdr:row>
                    <xdr:rowOff>160020</xdr:rowOff>
                  </from>
                  <to>
                    <xdr:col>17</xdr:col>
                    <xdr:colOff>327660</xdr:colOff>
                    <xdr:row>24</xdr:row>
                    <xdr:rowOff>160020</xdr:rowOff>
                  </to>
                </anchor>
              </controlPr>
            </control>
          </mc:Choice>
        </mc:AlternateContent>
        <mc:AlternateContent xmlns:mc="http://schemas.openxmlformats.org/markup-compatibility/2006">
          <mc:Choice Requires="x14">
            <control shapeId="6194" r:id="rId44" name="Option Button 50">
              <controlPr defaultSize="0" autoFill="0" autoLine="0" autoPict="0">
                <anchor moveWithCells="1">
                  <from>
                    <xdr:col>14</xdr:col>
                    <xdr:colOff>632460</xdr:colOff>
                    <xdr:row>24</xdr:row>
                    <xdr:rowOff>144780</xdr:rowOff>
                  </from>
                  <to>
                    <xdr:col>17</xdr:col>
                    <xdr:colOff>571500</xdr:colOff>
                    <xdr:row>25</xdr:row>
                    <xdr:rowOff>175260</xdr:rowOff>
                  </to>
                </anchor>
              </controlPr>
            </control>
          </mc:Choice>
        </mc:AlternateContent>
        <mc:AlternateContent xmlns:mc="http://schemas.openxmlformats.org/markup-compatibility/2006">
          <mc:Choice Requires="x14">
            <control shapeId="6195" r:id="rId45" name="Group Box 51">
              <controlPr defaultSize="0" autoFill="0" autoPict="0">
                <anchor moveWithCells="1">
                  <from>
                    <xdr:col>14</xdr:col>
                    <xdr:colOff>541020</xdr:colOff>
                    <xdr:row>23</xdr:row>
                    <xdr:rowOff>38100</xdr:rowOff>
                  </from>
                  <to>
                    <xdr:col>17</xdr:col>
                    <xdr:colOff>594360</xdr:colOff>
                    <xdr:row>26</xdr:row>
                    <xdr:rowOff>76200</xdr:rowOff>
                  </to>
                </anchor>
              </controlPr>
            </control>
          </mc:Choice>
        </mc:AlternateContent>
        <mc:AlternateContent xmlns:mc="http://schemas.openxmlformats.org/markup-compatibility/2006">
          <mc:Choice Requires="x14">
            <control shapeId="6196" r:id="rId46" name="Option Button 52">
              <controlPr defaultSize="0" autoFill="0" autoLine="0" autoPict="0">
                <anchor moveWithCells="1">
                  <from>
                    <xdr:col>3</xdr:col>
                    <xdr:colOff>53340</xdr:colOff>
                    <xdr:row>9</xdr:row>
                    <xdr:rowOff>15240</xdr:rowOff>
                  </from>
                  <to>
                    <xdr:col>3</xdr:col>
                    <xdr:colOff>495300</xdr:colOff>
                    <xdr:row>9</xdr:row>
                    <xdr:rowOff>175260</xdr:rowOff>
                  </to>
                </anchor>
              </controlPr>
            </control>
          </mc:Choice>
        </mc:AlternateContent>
        <mc:AlternateContent xmlns:mc="http://schemas.openxmlformats.org/markup-compatibility/2006">
          <mc:Choice Requires="x14">
            <control shapeId="6197" r:id="rId47" name="Option Button 53">
              <controlPr defaultSize="0" autoFill="0" autoLine="0" autoPict="0">
                <anchor moveWithCells="1">
                  <from>
                    <xdr:col>3</xdr:col>
                    <xdr:colOff>510540</xdr:colOff>
                    <xdr:row>9</xdr:row>
                    <xdr:rowOff>22860</xdr:rowOff>
                  </from>
                  <to>
                    <xdr:col>4</xdr:col>
                    <xdr:colOff>167640</xdr:colOff>
                    <xdr:row>10</xdr:row>
                    <xdr:rowOff>0</xdr:rowOff>
                  </to>
                </anchor>
              </controlPr>
            </control>
          </mc:Choice>
        </mc:AlternateContent>
        <mc:AlternateContent xmlns:mc="http://schemas.openxmlformats.org/markup-compatibility/2006">
          <mc:Choice Requires="x14">
            <control shapeId="6198" r:id="rId48" name="Option Button 54">
              <controlPr defaultSize="0" autoFill="0" autoLine="0" autoPict="0">
                <anchor moveWithCells="1">
                  <from>
                    <xdr:col>4</xdr:col>
                    <xdr:colOff>205740</xdr:colOff>
                    <xdr:row>9</xdr:row>
                    <xdr:rowOff>22860</xdr:rowOff>
                  </from>
                  <to>
                    <xdr:col>4</xdr:col>
                    <xdr:colOff>647700</xdr:colOff>
                    <xdr:row>10</xdr:row>
                    <xdr:rowOff>0</xdr:rowOff>
                  </to>
                </anchor>
              </controlPr>
            </control>
          </mc:Choice>
        </mc:AlternateContent>
        <mc:AlternateContent xmlns:mc="http://schemas.openxmlformats.org/markup-compatibility/2006">
          <mc:Choice Requires="x14">
            <control shapeId="6199" r:id="rId49" name="Group Box 55">
              <controlPr defaultSize="0" autoFill="0" autoPict="0">
                <anchor moveWithCells="1">
                  <from>
                    <xdr:col>3</xdr:col>
                    <xdr:colOff>0</xdr:colOff>
                    <xdr:row>9</xdr:row>
                    <xdr:rowOff>0</xdr:rowOff>
                  </from>
                  <to>
                    <xdr:col>5</xdr:col>
                    <xdr:colOff>0</xdr:colOff>
                    <xdr:row>10</xdr:row>
                    <xdr:rowOff>7620</xdr:rowOff>
                  </to>
                </anchor>
              </controlPr>
            </control>
          </mc:Choice>
        </mc:AlternateContent>
        <mc:AlternateContent xmlns:mc="http://schemas.openxmlformats.org/markup-compatibility/2006">
          <mc:Choice Requires="x14">
            <control shapeId="6200" r:id="rId50" name="Check Box 56">
              <controlPr defaultSize="0" autoFill="0" autoLine="0" autoPict="0">
                <anchor moveWithCells="1">
                  <from>
                    <xdr:col>8</xdr:col>
                    <xdr:colOff>38100</xdr:colOff>
                    <xdr:row>14</xdr:row>
                    <xdr:rowOff>0</xdr:rowOff>
                  </from>
                  <to>
                    <xdr:col>11</xdr:col>
                    <xdr:colOff>678180</xdr:colOff>
                    <xdr:row>15</xdr:row>
                    <xdr:rowOff>68580</xdr:rowOff>
                  </to>
                </anchor>
              </controlPr>
            </control>
          </mc:Choice>
        </mc:AlternateContent>
        <mc:AlternateContent xmlns:mc="http://schemas.openxmlformats.org/markup-compatibility/2006">
          <mc:Choice Requires="x14">
            <control shapeId="6201" r:id="rId51" name="Check Box 57">
              <controlPr defaultSize="0" autoFill="0" autoLine="0" autoPict="0">
                <anchor moveWithCells="1">
                  <from>
                    <xdr:col>1</xdr:col>
                    <xdr:colOff>30480</xdr:colOff>
                    <xdr:row>37</xdr:row>
                    <xdr:rowOff>30480</xdr:rowOff>
                  </from>
                  <to>
                    <xdr:col>2</xdr:col>
                    <xdr:colOff>601980</xdr:colOff>
                    <xdr:row>38</xdr:row>
                    <xdr:rowOff>0</xdr:rowOff>
                  </to>
                </anchor>
              </controlPr>
            </control>
          </mc:Choice>
        </mc:AlternateContent>
        <mc:AlternateContent xmlns:mc="http://schemas.openxmlformats.org/markup-compatibility/2006">
          <mc:Choice Requires="x14">
            <control shapeId="6202" r:id="rId52" name="Check Box 58">
              <controlPr defaultSize="0" autoFill="0" autoLine="0" autoPict="0">
                <anchor moveWithCells="1">
                  <from>
                    <xdr:col>1</xdr:col>
                    <xdr:colOff>30480</xdr:colOff>
                    <xdr:row>38</xdr:row>
                    <xdr:rowOff>0</xdr:rowOff>
                  </from>
                  <to>
                    <xdr:col>2</xdr:col>
                    <xdr:colOff>601980</xdr:colOff>
                    <xdr:row>38</xdr:row>
                    <xdr:rowOff>182880</xdr:rowOff>
                  </to>
                </anchor>
              </controlPr>
            </control>
          </mc:Choice>
        </mc:AlternateContent>
        <mc:AlternateContent xmlns:mc="http://schemas.openxmlformats.org/markup-compatibility/2006">
          <mc:Choice Requires="x14">
            <control shapeId="6203" r:id="rId53" name="Check Box 59">
              <controlPr defaultSize="0" autoFill="0" autoLine="0" autoPict="0">
                <anchor moveWithCells="1">
                  <from>
                    <xdr:col>3</xdr:col>
                    <xdr:colOff>45720</xdr:colOff>
                    <xdr:row>16</xdr:row>
                    <xdr:rowOff>0</xdr:rowOff>
                  </from>
                  <to>
                    <xdr:col>4</xdr:col>
                    <xdr:colOff>541020</xdr:colOff>
                    <xdr:row>17</xdr:row>
                    <xdr:rowOff>45720</xdr:rowOff>
                  </to>
                </anchor>
              </controlPr>
            </control>
          </mc:Choice>
        </mc:AlternateContent>
        <mc:AlternateContent xmlns:mc="http://schemas.openxmlformats.org/markup-compatibility/2006">
          <mc:Choice Requires="x14">
            <control shapeId="6204" r:id="rId54" name="Check Box 60">
              <controlPr defaultSize="0" autoFill="0" autoLine="0" autoPict="0">
                <anchor moveWithCells="1">
                  <from>
                    <xdr:col>3</xdr:col>
                    <xdr:colOff>45720</xdr:colOff>
                    <xdr:row>17</xdr:row>
                    <xdr:rowOff>152400</xdr:rowOff>
                  </from>
                  <to>
                    <xdr:col>5</xdr:col>
                    <xdr:colOff>342900</xdr:colOff>
                    <xdr:row>19</xdr:row>
                    <xdr:rowOff>15240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164A09E6-6613-46A6-82D9-3E6D510AE6A0}">
            <xm:f>'Datos ensayos LUM.'!$I$7</xm:f>
            <x14:dxf>
              <font>
                <color theme="0"/>
              </font>
            </x14:dxf>
          </x14:cfRule>
          <xm:sqref>D38:F38</xm:sqref>
        </x14:conditionalFormatting>
        <x14:conditionalFormatting xmlns:xm="http://schemas.microsoft.com/office/excel/2006/main">
          <x14:cfRule type="expression" priority="2" id="{7B1D27CF-D234-470A-8D7E-D09C2F92DCD4}">
            <xm:f>#REF!</xm:f>
            <x14:dxf>
              <fill>
                <patternFill>
                  <bgColor theme="0" tint="-4.9989318521683403E-2"/>
                </patternFill>
              </fill>
            </x14:dxf>
          </x14:cfRule>
          <xm:sqref>D39:F39</xm:sqref>
        </x14:conditionalFormatting>
        <x14:conditionalFormatting xmlns:xm="http://schemas.microsoft.com/office/excel/2006/main">
          <x14:cfRule type="expression" priority="12" id="{E3B5DCB6-AB92-4C5B-BAEB-E3D577275A2D}">
            <xm:f>AND('Datos ensayos LUM.'!$I$10=TRUE,$L$25=0)</xm:f>
            <x14:dxf>
              <font>
                <color rgb="FFFF0000"/>
              </font>
            </x14:dxf>
          </x14:cfRule>
          <xm:sqref>K25</xm:sqref>
        </x14:conditionalFormatting>
        <x14:conditionalFormatting xmlns:xm="http://schemas.microsoft.com/office/excel/2006/main">
          <x14:cfRule type="expression" priority="10" id="{F0917533-CB3B-4112-B11B-205E5D3FC014}">
            <xm:f>AND('Datos ensayos LUM.'!$K$9=TRUE,$L$26=0)</xm:f>
            <x14:dxf>
              <font>
                <color rgb="FFFF0000"/>
              </font>
            </x14:dxf>
          </x14:cfRule>
          <xm:sqref>K26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EDEA8-E95C-49D5-9541-8611E8C0E164}">
  <sheetPr codeName="Sheet2">
    <tabColor theme="4" tint="0.59999389629810485"/>
    <pageSetUpPr fitToPage="1"/>
  </sheetPr>
  <dimension ref="A1:N1717"/>
  <sheetViews>
    <sheetView workbookViewId="0">
      <pane xSplit="6" ySplit="1" topLeftCell="G2" activePane="bottomRight" state="frozen"/>
      <selection pane="topRight" activeCell="F1" sqref="F1"/>
      <selection pane="bottomLeft" activeCell="A2" sqref="A2"/>
      <selection pane="bottomRight" activeCell="C648" sqref="C648"/>
    </sheetView>
  </sheetViews>
  <sheetFormatPr defaultColWidth="9.44140625" defaultRowHeight="14.4" outlineLevelRow="4"/>
  <cols>
    <col min="1" max="1" width="6.5546875" customWidth="1"/>
    <col min="2" max="2" width="12.33203125" customWidth="1"/>
    <col min="3" max="3" width="22.44140625" customWidth="1"/>
    <col min="6" max="6" width="15.44140625" customWidth="1"/>
    <col min="7" max="7" width="23.44140625" style="33" customWidth="1"/>
    <col min="8" max="8" width="23.44140625" style="18" customWidth="1"/>
    <col min="9" max="9" width="23.44140625" style="34" customWidth="1"/>
    <col min="10" max="10" width="23.44140625" style="35" customWidth="1"/>
    <col min="11" max="11" width="23.44140625" style="33" customWidth="1"/>
    <col min="12" max="12" width="23.44140625" style="18" customWidth="1"/>
    <col min="13" max="13" width="23.44140625" style="34" customWidth="1"/>
    <col min="14" max="14" width="23.44140625" style="35" customWidth="1"/>
  </cols>
  <sheetData>
    <row r="1" spans="1:14" ht="18">
      <c r="A1" s="20" t="s">
        <v>853</v>
      </c>
      <c r="C1" s="368" t="str" cm="1">
        <f t="array" ref="C1:D1">'RESUMEN PROYECTO LUM'!D3:E3</f>
        <v>NNNNNAAAA</v>
      </c>
      <c r="D1" s="334">
        <v>0</v>
      </c>
      <c r="G1" s="28" t="str">
        <f>IF('Datos ensayos LUM.'!$D$7&gt;=1,'RESUMEN PROYECTO LUM'!B40,"")</f>
        <v>MUESTRA 1</v>
      </c>
      <c r="H1" s="29" t="str">
        <f>IF('Datos ensayos LUM.'!$D$7&gt;=2,'RESUMEN PROYECTO LUM'!B41,"")</f>
        <v/>
      </c>
      <c r="I1" s="30" t="str">
        <f>IF('Datos ensayos LUM.'!$D$7&gt;=3,'RESUMEN PROYECTO LUM'!B42,"")</f>
        <v/>
      </c>
      <c r="J1" s="31" t="str">
        <f>IF('Datos ensayos LUM.'!$D$7&gt;=4,'RESUMEN PROYECTO LUM'!B43,"")</f>
        <v/>
      </c>
      <c r="K1" s="28" t="str">
        <f>IF('Datos ensayos LUM.'!$D$7&gt;=5,'RESUMEN PROYECTO LUM'!B44,"")</f>
        <v/>
      </c>
      <c r="L1" s="29" t="str">
        <f>IF('Datos ensayos LUM.'!$D$7&gt;=6,'RESUMEN PROYECTO LUM'!B45,"")</f>
        <v/>
      </c>
      <c r="M1" s="30" t="str">
        <f>IF('Datos ensayos LUM.'!$D$7&gt;=7,'RESUMEN PROYECTO LUM'!B46,"")</f>
        <v/>
      </c>
      <c r="N1" s="31" t="str">
        <f>IF('Datos ensayos LUM.'!$D$7&gt;=8,'RESUMEN PROYECTO LUM'!B47,"")</f>
        <v/>
      </c>
    </row>
    <row r="2" spans="1:14">
      <c r="G2" s="116"/>
      <c r="H2" s="117"/>
      <c r="I2" s="118"/>
      <c r="J2" s="119"/>
      <c r="K2" s="116"/>
      <c r="L2" s="117"/>
      <c r="M2" s="118"/>
      <c r="N2" s="119"/>
    </row>
    <row r="3" spans="1:14" ht="21">
      <c r="A3" s="8"/>
      <c r="B3" s="32" t="s">
        <v>208</v>
      </c>
      <c r="C3" s="8"/>
      <c r="D3" s="8"/>
      <c r="E3" s="8"/>
      <c r="F3" s="8"/>
      <c r="G3" s="116"/>
      <c r="H3" s="117"/>
      <c r="I3" s="118"/>
      <c r="J3" s="119"/>
      <c r="K3" s="116"/>
      <c r="L3" s="117"/>
      <c r="M3" s="118"/>
      <c r="N3" s="119"/>
    </row>
    <row r="4" spans="1:14" outlineLevel="1">
      <c r="B4" s="8"/>
      <c r="C4" s="8"/>
      <c r="D4" s="36" t="s">
        <v>108</v>
      </c>
      <c r="E4" s="36" t="s">
        <v>109</v>
      </c>
      <c r="F4" s="36" t="s">
        <v>110</v>
      </c>
      <c r="G4" s="116"/>
      <c r="H4" s="117"/>
      <c r="I4" s="118"/>
      <c r="J4" s="119"/>
      <c r="K4" s="116"/>
      <c r="L4" s="117"/>
      <c r="M4" s="118"/>
      <c r="N4" s="119"/>
    </row>
    <row r="5" spans="1:14" outlineLevel="1">
      <c r="B5" s="8"/>
      <c r="C5" s="8"/>
      <c r="D5" s="26"/>
      <c r="E5" s="26"/>
      <c r="F5" s="27"/>
      <c r="G5" s="116"/>
      <c r="H5" s="117"/>
      <c r="I5" s="118"/>
      <c r="J5" s="119"/>
      <c r="K5" s="116"/>
      <c r="L5" s="117"/>
      <c r="M5" s="118"/>
      <c r="N5" s="119"/>
    </row>
    <row r="6" spans="1:14" ht="15" outlineLevel="1" thickBot="1">
      <c r="B6" s="8"/>
      <c r="C6" s="8"/>
      <c r="D6" s="8"/>
      <c r="E6" s="8"/>
      <c r="F6" s="8"/>
      <c r="G6" s="116"/>
      <c r="H6" s="117"/>
      <c r="I6" s="118"/>
      <c r="J6" s="119"/>
      <c r="K6" s="116"/>
      <c r="L6" s="117"/>
      <c r="M6" s="118"/>
      <c r="N6" s="119"/>
    </row>
    <row r="7" spans="1:14" outlineLevel="1">
      <c r="B7" s="8"/>
      <c r="C7" s="8"/>
      <c r="D7" s="587" t="s">
        <v>213</v>
      </c>
      <c r="E7" s="588"/>
      <c r="F7" s="39" t="s">
        <v>209</v>
      </c>
      <c r="G7" s="193"/>
      <c r="H7" s="194"/>
      <c r="I7" s="194"/>
      <c r="J7" s="194"/>
      <c r="K7" s="194"/>
      <c r="L7" s="194"/>
      <c r="M7" s="194"/>
      <c r="N7" s="195"/>
    </row>
    <row r="8" spans="1:14" outlineLevel="1">
      <c r="B8" s="8"/>
      <c r="C8" s="8"/>
      <c r="D8" s="589"/>
      <c r="E8" s="590"/>
      <c r="F8" s="41" t="s">
        <v>210</v>
      </c>
      <c r="G8" s="196"/>
      <c r="H8" s="197"/>
      <c r="I8" s="197"/>
      <c r="J8" s="197"/>
      <c r="K8" s="197"/>
      <c r="L8" s="197"/>
      <c r="M8" s="197"/>
      <c r="N8" s="198"/>
    </row>
    <row r="9" spans="1:14" outlineLevel="1">
      <c r="B9" s="8"/>
      <c r="C9" s="8"/>
      <c r="D9" s="589"/>
      <c r="E9" s="590"/>
      <c r="F9" s="41" t="s">
        <v>211</v>
      </c>
      <c r="G9" s="196"/>
      <c r="H9" s="197"/>
      <c r="I9" s="197"/>
      <c r="J9" s="197"/>
      <c r="K9" s="197"/>
      <c r="L9" s="197"/>
      <c r="M9" s="197"/>
      <c r="N9" s="198"/>
    </row>
    <row r="10" spans="1:14" ht="15" outlineLevel="1" thickBot="1">
      <c r="B10" s="8"/>
      <c r="C10" s="8"/>
      <c r="D10" s="591"/>
      <c r="E10" s="592"/>
      <c r="F10" s="43" t="s">
        <v>212</v>
      </c>
      <c r="G10" s="199"/>
      <c r="H10" s="200"/>
      <c r="I10" s="200"/>
      <c r="J10" s="200"/>
      <c r="K10" s="200"/>
      <c r="L10" s="200"/>
      <c r="M10" s="200"/>
      <c r="N10" s="201"/>
    </row>
    <row r="11" spans="1:14" ht="15" outlineLevel="1" thickBot="1">
      <c r="B11" s="8"/>
      <c r="C11" s="8"/>
      <c r="D11" s="8"/>
      <c r="E11" s="8"/>
      <c r="F11" s="8"/>
      <c r="G11" s="116"/>
      <c r="H11" s="117"/>
      <c r="I11" s="118"/>
      <c r="J11" s="119"/>
      <c r="K11" s="116"/>
      <c r="L11" s="117"/>
      <c r="M11" s="118"/>
      <c r="N11" s="119"/>
    </row>
    <row r="12" spans="1:14" outlineLevel="1">
      <c r="B12" s="8"/>
      <c r="C12" s="8"/>
      <c r="D12" s="587" t="s">
        <v>214</v>
      </c>
      <c r="E12" s="588"/>
      <c r="F12" s="39" t="s">
        <v>209</v>
      </c>
      <c r="G12" s="193"/>
      <c r="H12" s="194"/>
      <c r="I12" s="194"/>
      <c r="J12" s="194"/>
      <c r="K12" s="194"/>
      <c r="L12" s="194"/>
      <c r="M12" s="194"/>
      <c r="N12" s="195"/>
    </row>
    <row r="13" spans="1:14" outlineLevel="1">
      <c r="B13" s="8"/>
      <c r="C13" s="8"/>
      <c r="D13" s="589"/>
      <c r="E13" s="590"/>
      <c r="F13" s="41" t="s">
        <v>210</v>
      </c>
      <c r="G13" s="196"/>
      <c r="H13" s="197"/>
      <c r="I13" s="197"/>
      <c r="J13" s="197"/>
      <c r="K13" s="197"/>
      <c r="L13" s="197"/>
      <c r="M13" s="197"/>
      <c r="N13" s="198"/>
    </row>
    <row r="14" spans="1:14" ht="16.5" customHeight="1" outlineLevel="1">
      <c r="B14" s="8"/>
      <c r="C14" s="8"/>
      <c r="D14" s="589"/>
      <c r="E14" s="590"/>
      <c r="F14" s="41" t="s">
        <v>211</v>
      </c>
      <c r="G14" s="196"/>
      <c r="H14" s="197"/>
      <c r="I14" s="197"/>
      <c r="J14" s="197"/>
      <c r="K14" s="197"/>
      <c r="L14" s="197"/>
      <c r="M14" s="197"/>
      <c r="N14" s="198"/>
    </row>
    <row r="15" spans="1:14" ht="15" outlineLevel="1" thickBot="1">
      <c r="B15" s="8"/>
      <c r="C15" s="8"/>
      <c r="D15" s="591"/>
      <c r="E15" s="592"/>
      <c r="F15" s="43" t="s">
        <v>212</v>
      </c>
      <c r="G15" s="199"/>
      <c r="H15" s="200"/>
      <c r="I15" s="200"/>
      <c r="J15" s="200"/>
      <c r="K15" s="200"/>
      <c r="L15" s="200"/>
      <c r="M15" s="200"/>
      <c r="N15" s="201"/>
    </row>
    <row r="16" spans="1:14" ht="15" outlineLevel="1" thickBot="1">
      <c r="B16" s="8"/>
      <c r="C16" s="8"/>
      <c r="D16" s="8"/>
      <c r="E16" s="8"/>
      <c r="F16" s="8"/>
      <c r="G16" s="116"/>
      <c r="H16" s="117"/>
      <c r="I16" s="118"/>
      <c r="J16" s="119"/>
      <c r="K16" s="116"/>
      <c r="L16" s="117"/>
      <c r="M16" s="118"/>
      <c r="N16" s="119"/>
    </row>
    <row r="17" spans="1:14" outlineLevel="1">
      <c r="B17" s="8"/>
      <c r="C17" s="593" t="str">
        <f>IF('Datos ensayos LUM.'!D25=1,"IMPRESCINDIBLE RELLENAR ESTOS DATOS","")</f>
        <v/>
      </c>
      <c r="D17" s="587" t="s">
        <v>178</v>
      </c>
      <c r="E17" s="588"/>
      <c r="F17" s="39" t="s">
        <v>179</v>
      </c>
      <c r="G17" s="193"/>
      <c r="H17" s="194"/>
      <c r="I17" s="194"/>
      <c r="J17" s="194"/>
      <c r="K17" s="194"/>
      <c r="L17" s="194"/>
      <c r="M17" s="194"/>
      <c r="N17" s="195"/>
    </row>
    <row r="18" spans="1:14" outlineLevel="1">
      <c r="B18" s="8"/>
      <c r="C18" s="593"/>
      <c r="D18" s="589"/>
      <c r="E18" s="590"/>
      <c r="F18" s="41" t="s">
        <v>180</v>
      </c>
      <c r="G18" s="196"/>
      <c r="H18" s="197"/>
      <c r="I18" s="197"/>
      <c r="J18" s="197"/>
      <c r="K18" s="197"/>
      <c r="L18" s="197"/>
      <c r="M18" s="197"/>
      <c r="N18" s="198"/>
    </row>
    <row r="19" spans="1:14" ht="15" outlineLevel="1" thickBot="1">
      <c r="B19" s="8"/>
      <c r="C19" s="593"/>
      <c r="D19" s="591"/>
      <c r="E19" s="592"/>
      <c r="F19" s="43" t="s">
        <v>181</v>
      </c>
      <c r="G19" s="199"/>
      <c r="H19" s="200"/>
      <c r="I19" s="200"/>
      <c r="J19" s="200"/>
      <c r="K19" s="200"/>
      <c r="L19" s="200"/>
      <c r="M19" s="200"/>
      <c r="N19" s="201"/>
    </row>
    <row r="20" spans="1:14" outlineLevel="1">
      <c r="B20" s="8"/>
      <c r="C20" s="8"/>
      <c r="D20" s="8"/>
      <c r="E20" s="8"/>
      <c r="F20" s="8"/>
      <c r="G20" s="116"/>
      <c r="H20" s="117"/>
      <c r="I20" s="118"/>
      <c r="J20" s="119"/>
      <c r="K20" s="116"/>
      <c r="L20" s="117"/>
      <c r="M20" s="118"/>
      <c r="N20" s="119"/>
    </row>
    <row r="21" spans="1:14" outlineLevel="1">
      <c r="B21" s="8"/>
      <c r="C21" s="8"/>
      <c r="D21" s="8"/>
      <c r="E21" s="8"/>
      <c r="F21" s="8"/>
      <c r="G21" s="116"/>
      <c r="H21" s="117"/>
      <c r="I21" s="118"/>
      <c r="J21" s="119"/>
      <c r="K21" s="116"/>
      <c r="L21" s="117"/>
      <c r="M21" s="118"/>
      <c r="N21" s="119"/>
    </row>
    <row r="22" spans="1:14">
      <c r="B22" s="8"/>
      <c r="C22" s="8"/>
      <c r="D22" s="8"/>
      <c r="E22" s="8"/>
      <c r="F22" s="8"/>
      <c r="G22" s="116"/>
      <c r="H22" s="117"/>
      <c r="I22" s="118"/>
      <c r="J22" s="119"/>
      <c r="K22" s="116"/>
      <c r="L22" s="117"/>
      <c r="M22" s="118"/>
      <c r="N22" s="119"/>
    </row>
    <row r="23" spans="1:14">
      <c r="G23" s="116"/>
      <c r="H23" s="117"/>
      <c r="I23" s="118"/>
      <c r="J23" s="119"/>
      <c r="K23" s="116"/>
      <c r="L23" s="117"/>
      <c r="M23" s="118"/>
      <c r="N23" s="119"/>
    </row>
    <row r="24" spans="1:14" ht="21">
      <c r="A24" s="10"/>
      <c r="B24" s="45" t="s">
        <v>202</v>
      </c>
      <c r="C24" s="10"/>
      <c r="D24" s="10"/>
      <c r="E24" s="10"/>
      <c r="F24" s="10"/>
      <c r="G24" s="116"/>
      <c r="H24" s="117"/>
      <c r="I24" s="118"/>
      <c r="J24" s="119"/>
      <c r="K24" s="116"/>
      <c r="L24" s="117"/>
      <c r="M24" s="118"/>
      <c r="N24" s="119"/>
    </row>
    <row r="25" spans="1:14" outlineLevel="1">
      <c r="B25" s="10"/>
      <c r="C25" s="10"/>
      <c r="D25" s="36" t="s">
        <v>108</v>
      </c>
      <c r="E25" s="36" t="s">
        <v>109</v>
      </c>
      <c r="F25" s="36" t="s">
        <v>110</v>
      </c>
      <c r="G25" s="116"/>
      <c r="H25" s="117"/>
      <c r="I25" s="118"/>
      <c r="J25" s="119"/>
      <c r="K25" s="116"/>
      <c r="L25" s="117"/>
      <c r="M25" s="118"/>
      <c r="N25" s="119"/>
    </row>
    <row r="26" spans="1:14" outlineLevel="1">
      <c r="B26" s="10"/>
      <c r="C26" s="10"/>
      <c r="D26" s="26"/>
      <c r="E26" s="26"/>
      <c r="F26" s="27">
        <v>15</v>
      </c>
      <c r="G26" s="116"/>
      <c r="H26" s="117"/>
      <c r="I26" s="118"/>
      <c r="J26" s="119"/>
      <c r="K26" s="116"/>
      <c r="L26" s="117"/>
      <c r="M26" s="118"/>
      <c r="N26" s="119"/>
    </row>
    <row r="27" spans="1:14" outlineLevel="1">
      <c r="B27" s="545" t="str">
        <f>IF('Datos ensayos LUM.'!M21=1,"SELECCIONA UNA OPCIÓN","")</f>
        <v>SELECCIONA UNA OPCIÓN</v>
      </c>
      <c r="C27" s="46" t="s">
        <v>722</v>
      </c>
      <c r="D27" s="10"/>
      <c r="E27" s="10"/>
      <c r="F27" s="10"/>
      <c r="G27" s="116"/>
      <c r="H27" s="117"/>
      <c r="I27" s="118"/>
      <c r="J27" s="119"/>
      <c r="K27" s="116"/>
      <c r="L27" s="117"/>
      <c r="M27" s="118"/>
      <c r="N27" s="119"/>
    </row>
    <row r="28" spans="1:14" outlineLevel="1">
      <c r="B28" s="545"/>
      <c r="C28" s="46"/>
      <c r="D28" s="10"/>
      <c r="E28" s="10"/>
      <c r="F28" s="10"/>
      <c r="G28" s="116"/>
      <c r="H28" s="117"/>
      <c r="I28" s="118"/>
      <c r="J28" s="119"/>
      <c r="K28" s="116"/>
      <c r="L28" s="117"/>
      <c r="M28" s="118"/>
      <c r="N28" s="119"/>
    </row>
    <row r="29" spans="1:14" outlineLevel="1">
      <c r="B29" s="545"/>
      <c r="C29" s="10"/>
      <c r="D29" s="10"/>
      <c r="E29" s="10"/>
      <c r="F29" s="10"/>
      <c r="G29" s="116"/>
      <c r="H29" s="117"/>
      <c r="I29" s="118"/>
      <c r="J29" s="119"/>
      <c r="K29" s="116"/>
      <c r="L29" s="117"/>
      <c r="M29" s="118"/>
      <c r="N29" s="119"/>
    </row>
    <row r="30" spans="1:14" ht="15" outlineLevel="1" thickBot="1">
      <c r="B30" s="10"/>
      <c r="C30" s="10"/>
      <c r="D30" s="10"/>
      <c r="E30" s="10"/>
      <c r="F30" s="10"/>
      <c r="G30" s="116"/>
      <c r="H30" s="117"/>
      <c r="I30" s="118"/>
      <c r="J30" s="119"/>
      <c r="K30" s="116"/>
      <c r="L30" s="117"/>
      <c r="M30" s="118"/>
      <c r="N30" s="119"/>
    </row>
    <row r="31" spans="1:14" ht="15" customHeight="1" outlineLevel="1">
      <c r="B31" s="545" t="str">
        <f>IF('Datos ensayos LUM.'!M22=1,"SELECCIONA UNA OPCIÓN","")</f>
        <v>SELECCIONA UNA OPCIÓN</v>
      </c>
      <c r="C31" s="46" t="s">
        <v>717</v>
      </c>
      <c r="D31" s="546" t="s">
        <v>206</v>
      </c>
      <c r="E31" s="547"/>
      <c r="F31" s="47" t="s">
        <v>204</v>
      </c>
      <c r="G31" s="193">
        <v>15</v>
      </c>
      <c r="H31" s="194"/>
      <c r="I31" s="194"/>
      <c r="J31" s="194"/>
      <c r="K31" s="194"/>
      <c r="L31" s="194"/>
      <c r="M31" s="194"/>
      <c r="N31" s="195"/>
    </row>
    <row r="32" spans="1:14" outlineLevel="1">
      <c r="B32" s="545"/>
      <c r="C32" s="10"/>
      <c r="D32" s="548"/>
      <c r="E32" s="549"/>
      <c r="F32" s="48" t="s">
        <v>205</v>
      </c>
      <c r="G32" s="196">
        <v>15</v>
      </c>
      <c r="H32" s="197"/>
      <c r="I32" s="197"/>
      <c r="J32" s="197"/>
      <c r="K32" s="197"/>
      <c r="L32" s="197"/>
      <c r="M32" s="197"/>
      <c r="N32" s="198"/>
    </row>
    <row r="33" spans="1:14" ht="15" outlineLevel="1" thickBot="1">
      <c r="B33" s="545"/>
      <c r="C33" s="10"/>
      <c r="D33" s="550"/>
      <c r="E33" s="551"/>
      <c r="F33" s="49" t="s">
        <v>207</v>
      </c>
      <c r="G33" s="199">
        <v>15</v>
      </c>
      <c r="H33" s="200"/>
      <c r="I33" s="200"/>
      <c r="J33" s="200"/>
      <c r="K33" s="200"/>
      <c r="L33" s="200"/>
      <c r="M33" s="200"/>
      <c r="N33" s="201"/>
    </row>
    <row r="34" spans="1:14" outlineLevel="1">
      <c r="B34" s="10"/>
      <c r="C34" s="10"/>
      <c r="D34" s="10"/>
      <c r="E34" s="10"/>
      <c r="F34" s="10"/>
      <c r="G34" s="116"/>
      <c r="H34" s="117"/>
      <c r="I34" s="118"/>
      <c r="J34" s="119"/>
      <c r="K34" s="116"/>
      <c r="L34" s="117"/>
      <c r="M34" s="118"/>
      <c r="N34" s="119"/>
    </row>
    <row r="35" spans="1:14" outlineLevel="1">
      <c r="B35" s="10"/>
      <c r="C35" s="552" t="s">
        <v>98</v>
      </c>
      <c r="D35" s="553"/>
      <c r="E35" s="553"/>
      <c r="F35" s="554"/>
      <c r="G35" s="116"/>
      <c r="H35" s="117"/>
      <c r="I35" s="118"/>
      <c r="J35" s="119"/>
      <c r="K35" s="116"/>
      <c r="L35" s="117"/>
      <c r="M35" s="118"/>
      <c r="N35" s="119"/>
    </row>
    <row r="36" spans="1:14" outlineLevel="1">
      <c r="B36" s="10"/>
      <c r="C36" s="555"/>
      <c r="D36" s="556"/>
      <c r="E36" s="556"/>
      <c r="F36" s="557"/>
      <c r="G36" s="116"/>
      <c r="H36" s="117"/>
      <c r="I36" s="118"/>
      <c r="J36" s="119"/>
      <c r="K36" s="116"/>
      <c r="L36" s="117"/>
      <c r="M36" s="118"/>
      <c r="N36" s="119"/>
    </row>
    <row r="37" spans="1:14" outlineLevel="1">
      <c r="B37" s="10"/>
      <c r="C37" s="555"/>
      <c r="D37" s="556"/>
      <c r="E37" s="556"/>
      <c r="F37" s="557"/>
      <c r="G37" s="116"/>
      <c r="H37" s="117"/>
      <c r="I37" s="118"/>
      <c r="J37" s="119"/>
      <c r="K37" s="116"/>
      <c r="L37" s="117"/>
      <c r="M37" s="118"/>
      <c r="N37" s="119"/>
    </row>
    <row r="38" spans="1:14" outlineLevel="1">
      <c r="B38" s="10"/>
      <c r="C38" s="558"/>
      <c r="D38" s="559"/>
      <c r="E38" s="559"/>
      <c r="F38" s="560"/>
      <c r="G38" s="116"/>
      <c r="H38" s="117"/>
      <c r="I38" s="118"/>
      <c r="J38" s="119"/>
      <c r="K38" s="116"/>
      <c r="L38" s="117"/>
      <c r="M38" s="118"/>
      <c r="N38" s="119"/>
    </row>
    <row r="39" spans="1:14" outlineLevel="1">
      <c r="B39" s="50"/>
      <c r="C39" s="10"/>
      <c r="D39" s="10"/>
      <c r="E39" s="10"/>
      <c r="F39" s="10"/>
      <c r="G39" s="116"/>
      <c r="H39" s="117"/>
      <c r="I39" s="118"/>
      <c r="J39" s="119"/>
      <c r="K39" s="116"/>
      <c r="L39" s="117"/>
      <c r="M39" s="118"/>
      <c r="N39" s="119"/>
    </row>
    <row r="40" spans="1:14" outlineLevel="1">
      <c r="B40" s="50"/>
      <c r="C40" s="10"/>
      <c r="D40" s="10"/>
      <c r="E40" s="10"/>
      <c r="F40" s="10"/>
      <c r="G40" s="116"/>
      <c r="H40" s="117"/>
      <c r="I40" s="118"/>
      <c r="J40" s="119"/>
      <c r="K40" s="116"/>
      <c r="L40" s="117"/>
      <c r="M40" s="118"/>
      <c r="N40" s="119"/>
    </row>
    <row r="41" spans="1:14">
      <c r="B41" s="10"/>
      <c r="C41" s="10"/>
      <c r="D41" s="10"/>
      <c r="E41" s="10"/>
      <c r="F41" s="10"/>
      <c r="G41" s="116"/>
      <c r="H41" s="117"/>
      <c r="I41" s="118"/>
      <c r="J41" s="119"/>
      <c r="K41" s="116"/>
      <c r="L41" s="117"/>
      <c r="M41" s="118"/>
      <c r="N41" s="119"/>
    </row>
    <row r="42" spans="1:14">
      <c r="G42" s="116"/>
      <c r="H42" s="117"/>
      <c r="I42" s="118"/>
      <c r="J42" s="119"/>
      <c r="K42" s="116"/>
      <c r="L42" s="117"/>
      <c r="M42" s="118"/>
      <c r="N42" s="119"/>
    </row>
    <row r="43" spans="1:14" ht="21">
      <c r="A43" s="8"/>
      <c r="B43" s="32" t="s">
        <v>840</v>
      </c>
      <c r="C43" s="8"/>
      <c r="D43" s="8"/>
      <c r="E43" s="8"/>
      <c r="F43" s="8"/>
      <c r="G43" s="116"/>
      <c r="H43" s="117"/>
      <c r="I43" s="118"/>
      <c r="J43" s="119"/>
      <c r="K43" s="116"/>
      <c r="L43" s="117"/>
      <c r="M43" s="118"/>
      <c r="N43" s="119"/>
    </row>
    <row r="44" spans="1:14" ht="15" customHeight="1" outlineLevel="1">
      <c r="B44" s="32"/>
      <c r="C44" s="8"/>
      <c r="D44" s="36" t="s">
        <v>108</v>
      </c>
      <c r="E44" s="36" t="s">
        <v>109</v>
      </c>
      <c r="F44" s="36" t="s">
        <v>110</v>
      </c>
      <c r="G44" s="116"/>
      <c r="H44" s="117"/>
      <c r="I44" s="118"/>
      <c r="J44" s="119"/>
      <c r="K44" s="116"/>
      <c r="L44" s="117"/>
      <c r="M44" s="118"/>
      <c r="N44" s="119"/>
    </row>
    <row r="45" spans="1:14" ht="16.5" customHeight="1" outlineLevel="1">
      <c r="B45" s="32"/>
      <c r="C45" s="8"/>
      <c r="D45" s="37"/>
      <c r="E45" s="37"/>
      <c r="F45" s="38"/>
      <c r="G45" s="116"/>
      <c r="H45" s="117"/>
      <c r="I45" s="118"/>
      <c r="J45" s="119"/>
      <c r="K45" s="116"/>
      <c r="L45" s="117"/>
      <c r="M45" s="118"/>
      <c r="N45" s="119"/>
    </row>
    <row r="46" spans="1:14" outlineLevel="1">
      <c r="B46" s="8"/>
      <c r="C46" s="8"/>
      <c r="D46" s="775" t="s">
        <v>111</v>
      </c>
      <c r="E46" s="775"/>
      <c r="F46" s="775"/>
      <c r="G46" s="116"/>
      <c r="H46" s="117"/>
      <c r="I46" s="118"/>
      <c r="J46" s="119"/>
      <c r="K46" s="116"/>
      <c r="L46" s="117"/>
      <c r="M46" s="118"/>
      <c r="N46" s="119"/>
    </row>
    <row r="47" spans="1:14" outlineLevel="1">
      <c r="B47" s="8"/>
      <c r="C47" s="8"/>
      <c r="D47" s="776"/>
      <c r="E47" s="776"/>
      <c r="F47" s="776"/>
      <c r="G47" s="116"/>
      <c r="H47" s="117"/>
      <c r="I47" s="118"/>
      <c r="J47" s="119"/>
      <c r="K47" s="116"/>
      <c r="L47" s="117"/>
      <c r="M47" s="118"/>
      <c r="N47" s="119"/>
    </row>
    <row r="48" spans="1:14" outlineLevel="1">
      <c r="B48" s="8"/>
      <c r="C48" s="8"/>
      <c r="D48" s="777"/>
      <c r="E48" s="777"/>
      <c r="F48" s="777"/>
      <c r="G48" s="116"/>
      <c r="H48" s="117"/>
      <c r="I48" s="118"/>
      <c r="J48" s="119"/>
      <c r="K48" s="116"/>
      <c r="L48" s="117"/>
      <c r="M48" s="118"/>
      <c r="N48" s="119"/>
    </row>
    <row r="49" spans="1:14" outlineLevel="1">
      <c r="B49" s="8"/>
      <c r="C49" s="536" t="s">
        <v>98</v>
      </c>
      <c r="D49" s="537"/>
      <c r="E49" s="537"/>
      <c r="F49" s="538"/>
      <c r="G49" s="116"/>
      <c r="H49" s="117"/>
      <c r="I49" s="118"/>
      <c r="J49" s="119"/>
      <c r="K49" s="116"/>
      <c r="L49" s="117"/>
      <c r="M49" s="118"/>
      <c r="N49" s="119"/>
    </row>
    <row r="50" spans="1:14" outlineLevel="1">
      <c r="B50" s="8"/>
      <c r="C50" s="539"/>
      <c r="D50" s="540"/>
      <c r="E50" s="540"/>
      <c r="F50" s="541"/>
      <c r="G50" s="116"/>
      <c r="H50" s="117"/>
      <c r="I50" s="118"/>
      <c r="J50" s="119"/>
      <c r="K50" s="116"/>
      <c r="L50" s="117"/>
      <c r="M50" s="118"/>
      <c r="N50" s="119"/>
    </row>
    <row r="51" spans="1:14" outlineLevel="1">
      <c r="B51" s="8"/>
      <c r="C51" s="539"/>
      <c r="D51" s="540"/>
      <c r="E51" s="540"/>
      <c r="F51" s="541"/>
      <c r="G51" s="116"/>
      <c r="H51" s="117"/>
      <c r="I51" s="118"/>
      <c r="J51" s="119"/>
      <c r="K51" s="116"/>
      <c r="L51" s="117"/>
      <c r="M51" s="118"/>
      <c r="N51" s="119"/>
    </row>
    <row r="52" spans="1:14" outlineLevel="1">
      <c r="B52" s="8"/>
      <c r="C52" s="542"/>
      <c r="D52" s="543"/>
      <c r="E52" s="543"/>
      <c r="F52" s="544"/>
      <c r="G52" s="116"/>
      <c r="H52" s="117"/>
      <c r="I52" s="118"/>
      <c r="J52" s="119"/>
      <c r="K52" s="116"/>
      <c r="L52" s="117"/>
      <c r="M52" s="118"/>
      <c r="N52" s="119"/>
    </row>
    <row r="53" spans="1:14">
      <c r="B53" s="8"/>
      <c r="C53" s="8"/>
      <c r="D53" s="8"/>
      <c r="E53" s="8"/>
      <c r="F53" s="8"/>
      <c r="G53" s="116"/>
      <c r="H53" s="117"/>
      <c r="I53" s="118"/>
      <c r="J53" s="119"/>
      <c r="K53" s="116"/>
      <c r="L53" s="117"/>
      <c r="M53" s="118"/>
      <c r="N53" s="119"/>
    </row>
    <row r="54" spans="1:14">
      <c r="G54" s="116"/>
      <c r="H54" s="117"/>
      <c r="I54" s="118"/>
      <c r="J54" s="119"/>
      <c r="K54" s="116"/>
      <c r="L54" s="117"/>
      <c r="M54" s="118"/>
      <c r="N54" s="119"/>
    </row>
    <row r="55" spans="1:14" s="53" customFormat="1" ht="21">
      <c r="A55" s="52"/>
      <c r="B55" s="51" t="s">
        <v>1130</v>
      </c>
      <c r="C55" s="52"/>
      <c r="D55" s="52"/>
      <c r="E55" s="19"/>
      <c r="F55" s="19"/>
      <c r="G55" s="120"/>
      <c r="H55" s="121"/>
      <c r="I55" s="122"/>
      <c r="J55" s="123"/>
      <c r="K55" s="120"/>
      <c r="L55" s="121"/>
      <c r="M55" s="122"/>
      <c r="N55" s="123"/>
    </row>
    <row r="56" spans="1:14" outlineLevel="1">
      <c r="B56" s="19"/>
      <c r="C56" s="19"/>
      <c r="D56" s="19"/>
      <c r="E56" s="19"/>
      <c r="F56" s="19"/>
      <c r="G56" s="116"/>
      <c r="H56" s="117"/>
      <c r="I56" s="118"/>
      <c r="J56" s="119"/>
      <c r="K56" s="116"/>
      <c r="L56" s="117"/>
      <c r="M56" s="118"/>
      <c r="N56" s="119"/>
    </row>
    <row r="57" spans="1:14" outlineLevel="1">
      <c r="A57" s="19"/>
      <c r="B57" s="54" t="s">
        <v>1131</v>
      </c>
      <c r="C57" s="54" t="s">
        <v>99</v>
      </c>
      <c r="D57" s="54"/>
      <c r="E57" s="54"/>
      <c r="F57" s="19"/>
      <c r="G57" s="116"/>
      <c r="H57" s="117"/>
      <c r="I57" s="118"/>
      <c r="J57" s="119"/>
      <c r="K57" s="116"/>
      <c r="L57" s="117"/>
      <c r="M57" s="118"/>
      <c r="N57" s="119"/>
    </row>
    <row r="58" spans="1:14" s="20" customFormat="1" ht="14.25" customHeight="1" outlineLevel="1">
      <c r="B58" s="55"/>
      <c r="C58" s="55"/>
      <c r="D58" s="36" t="s">
        <v>108</v>
      </c>
      <c r="E58" s="36" t="s">
        <v>109</v>
      </c>
      <c r="F58" s="36" t="s">
        <v>110</v>
      </c>
      <c r="G58" s="124"/>
      <c r="H58" s="125"/>
      <c r="I58" s="126"/>
      <c r="J58" s="127"/>
      <c r="K58" s="128"/>
      <c r="L58" s="125"/>
      <c r="M58" s="126"/>
      <c r="N58" s="127"/>
    </row>
    <row r="59" spans="1:14" s="20" customFormat="1" ht="14.25" customHeight="1" outlineLevel="1">
      <c r="B59" s="55"/>
      <c r="C59" s="55"/>
      <c r="D59" s="37"/>
      <c r="E59" s="37"/>
      <c r="F59" s="38"/>
      <c r="G59" s="124"/>
      <c r="H59" s="125"/>
      <c r="I59" s="126"/>
      <c r="J59" s="127"/>
      <c r="K59" s="128"/>
      <c r="L59" s="125"/>
      <c r="M59" s="126"/>
      <c r="N59" s="127"/>
    </row>
    <row r="60" spans="1:14" outlineLevel="2">
      <c r="B60" s="54" t="s">
        <v>1133</v>
      </c>
      <c r="C60" s="54" t="s">
        <v>112</v>
      </c>
      <c r="D60" s="54"/>
      <c r="E60" s="54"/>
      <c r="F60" s="19"/>
      <c r="G60" s="116"/>
      <c r="H60" s="117"/>
      <c r="I60" s="118"/>
      <c r="J60" s="119"/>
      <c r="K60" s="116"/>
      <c r="L60" s="117"/>
      <c r="M60" s="118"/>
      <c r="N60" s="119"/>
    </row>
    <row r="61" spans="1:14" outlineLevel="2">
      <c r="B61" s="19"/>
      <c r="C61" s="19"/>
      <c r="D61" s="19"/>
      <c r="E61" s="19"/>
      <c r="F61" s="19"/>
      <c r="G61" s="116"/>
      <c r="H61" s="117"/>
      <c r="I61" s="118"/>
      <c r="J61" s="119"/>
      <c r="K61" s="116"/>
      <c r="L61" s="117"/>
      <c r="M61" s="118"/>
      <c r="N61" s="119"/>
    </row>
    <row r="62" spans="1:14" outlineLevel="2">
      <c r="B62" s="19"/>
      <c r="C62" s="19"/>
      <c r="D62" s="19"/>
      <c r="E62" s="19"/>
      <c r="F62" s="19"/>
      <c r="G62" s="116"/>
      <c r="H62" s="117"/>
      <c r="I62" s="118"/>
      <c r="J62" s="119"/>
      <c r="K62" s="116"/>
      <c r="L62" s="117"/>
      <c r="M62" s="118"/>
      <c r="N62" s="119"/>
    </row>
    <row r="63" spans="1:14" outlineLevel="2">
      <c r="B63" s="19"/>
      <c r="C63" s="19"/>
      <c r="D63" s="19"/>
      <c r="E63" s="19"/>
      <c r="F63" s="19"/>
      <c r="G63" s="116"/>
      <c r="H63" s="117"/>
      <c r="I63" s="118"/>
      <c r="J63" s="119"/>
      <c r="K63" s="116"/>
      <c r="L63" s="117"/>
      <c r="M63" s="118"/>
      <c r="N63" s="119"/>
    </row>
    <row r="64" spans="1:14" outlineLevel="2">
      <c r="B64" s="19"/>
      <c r="C64" s="536" t="s">
        <v>98</v>
      </c>
      <c r="D64" s="537"/>
      <c r="E64" s="537"/>
      <c r="F64" s="538"/>
      <c r="G64" s="116"/>
      <c r="H64" s="117"/>
      <c r="I64" s="118"/>
      <c r="J64" s="119"/>
      <c r="K64" s="116"/>
      <c r="L64" s="117"/>
      <c r="M64" s="118"/>
      <c r="N64" s="119"/>
    </row>
    <row r="65" spans="2:14" outlineLevel="2">
      <c r="B65" s="19"/>
      <c r="C65" s="539"/>
      <c r="D65" s="540"/>
      <c r="E65" s="540"/>
      <c r="F65" s="541"/>
      <c r="G65" s="116"/>
      <c r="H65" s="117"/>
      <c r="I65" s="118"/>
      <c r="J65" s="119"/>
      <c r="K65" s="116"/>
      <c r="L65" s="117"/>
      <c r="M65" s="118"/>
      <c r="N65" s="119"/>
    </row>
    <row r="66" spans="2:14" outlineLevel="2">
      <c r="B66" s="19"/>
      <c r="C66" s="539"/>
      <c r="D66" s="540"/>
      <c r="E66" s="540"/>
      <c r="F66" s="541"/>
      <c r="G66" s="116"/>
      <c r="H66" s="117"/>
      <c r="I66" s="118"/>
      <c r="J66" s="119"/>
      <c r="K66" s="116"/>
      <c r="L66" s="117"/>
      <c r="M66" s="118"/>
      <c r="N66" s="119"/>
    </row>
    <row r="67" spans="2:14" outlineLevel="2">
      <c r="B67" s="19"/>
      <c r="C67" s="542"/>
      <c r="D67" s="543"/>
      <c r="E67" s="543"/>
      <c r="F67" s="544"/>
      <c r="G67" s="116"/>
      <c r="H67" s="117"/>
      <c r="I67" s="118"/>
      <c r="J67" s="119"/>
      <c r="K67" s="116"/>
      <c r="L67" s="117"/>
      <c r="M67" s="118"/>
      <c r="N67" s="119"/>
    </row>
    <row r="68" spans="2:14" outlineLevel="2">
      <c r="B68" s="19"/>
      <c r="C68" s="19"/>
      <c r="D68" s="19"/>
      <c r="E68" s="19"/>
      <c r="F68" s="19"/>
      <c r="G68" s="116"/>
      <c r="H68" s="117"/>
      <c r="I68" s="118"/>
      <c r="J68" s="119"/>
      <c r="K68" s="116"/>
      <c r="L68" s="117"/>
      <c r="M68" s="118"/>
      <c r="N68" s="119"/>
    </row>
    <row r="69" spans="2:14" outlineLevel="2">
      <c r="B69" s="19"/>
      <c r="C69" s="19"/>
      <c r="D69" s="19"/>
      <c r="E69" s="19"/>
      <c r="F69" s="19"/>
      <c r="G69" s="116"/>
      <c r="H69" s="117"/>
      <c r="I69" s="118"/>
      <c r="J69" s="119"/>
      <c r="K69" s="116"/>
      <c r="L69" s="117"/>
      <c r="M69" s="118"/>
      <c r="N69" s="119"/>
    </row>
    <row r="70" spans="2:14" outlineLevel="2">
      <c r="B70" s="19"/>
      <c r="C70" s="54" t="s">
        <v>113</v>
      </c>
      <c r="D70" s="19"/>
      <c r="E70" s="19"/>
      <c r="F70" s="19"/>
      <c r="G70" s="116"/>
      <c r="H70" s="117"/>
      <c r="I70" s="118"/>
      <c r="J70" s="119"/>
      <c r="K70" s="116"/>
      <c r="L70" s="117"/>
      <c r="M70" s="118"/>
      <c r="N70" s="119"/>
    </row>
    <row r="71" spans="2:14" outlineLevel="2">
      <c r="B71" s="19"/>
      <c r="C71" s="19"/>
      <c r="D71" s="19"/>
      <c r="E71" s="19"/>
      <c r="F71" s="19"/>
      <c r="G71" s="116"/>
      <c r="H71" s="117"/>
      <c r="I71" s="118"/>
      <c r="J71" s="119"/>
      <c r="K71" s="116"/>
      <c r="L71" s="117"/>
      <c r="M71" s="118"/>
      <c r="N71" s="119"/>
    </row>
    <row r="72" spans="2:14" outlineLevel="2">
      <c r="B72" s="19"/>
      <c r="C72" s="19"/>
      <c r="D72" s="19"/>
      <c r="E72" s="19"/>
      <c r="F72" s="19"/>
      <c r="G72" s="116"/>
      <c r="H72" s="117"/>
      <c r="I72" s="118"/>
      <c r="J72" s="119"/>
      <c r="K72" s="116"/>
      <c r="L72" s="117"/>
      <c r="M72" s="118"/>
      <c r="N72" s="119"/>
    </row>
    <row r="73" spans="2:14" outlineLevel="2">
      <c r="B73" s="19"/>
      <c r="C73" s="19"/>
      <c r="D73" s="19"/>
      <c r="E73" s="19"/>
      <c r="F73" s="19"/>
      <c r="G73" s="116"/>
      <c r="H73" s="117"/>
      <c r="I73" s="118"/>
      <c r="J73" s="119"/>
      <c r="K73" s="116"/>
      <c r="L73" s="117"/>
      <c r="M73" s="118"/>
      <c r="N73" s="119"/>
    </row>
    <row r="74" spans="2:14" outlineLevel="2">
      <c r="B74" s="19"/>
      <c r="C74" s="19"/>
      <c r="D74" s="19"/>
      <c r="E74" s="19"/>
      <c r="F74" s="19"/>
      <c r="G74" s="116"/>
      <c r="H74" s="117"/>
      <c r="I74" s="118"/>
      <c r="J74" s="119"/>
      <c r="K74" s="116"/>
      <c r="L74" s="117"/>
      <c r="M74" s="118"/>
      <c r="N74" s="119"/>
    </row>
    <row r="75" spans="2:14" outlineLevel="2">
      <c r="B75" s="19"/>
      <c r="C75" s="536" t="s">
        <v>98</v>
      </c>
      <c r="D75" s="537"/>
      <c r="E75" s="537"/>
      <c r="F75" s="538"/>
      <c r="G75" s="116"/>
      <c r="H75" s="117"/>
      <c r="I75" s="118"/>
      <c r="J75" s="119"/>
      <c r="K75" s="116"/>
      <c r="L75" s="117"/>
      <c r="M75" s="118"/>
      <c r="N75" s="119"/>
    </row>
    <row r="76" spans="2:14" outlineLevel="2">
      <c r="B76" s="19"/>
      <c r="C76" s="539"/>
      <c r="D76" s="540"/>
      <c r="E76" s="540"/>
      <c r="F76" s="541"/>
      <c r="G76" s="116"/>
      <c r="H76" s="117"/>
      <c r="I76" s="118"/>
      <c r="J76" s="119"/>
      <c r="K76" s="116"/>
      <c r="L76" s="117"/>
      <c r="M76" s="118"/>
      <c r="N76" s="119"/>
    </row>
    <row r="77" spans="2:14" outlineLevel="2">
      <c r="B77" s="19"/>
      <c r="C77" s="539"/>
      <c r="D77" s="540"/>
      <c r="E77" s="540"/>
      <c r="F77" s="541"/>
      <c r="G77" s="116"/>
      <c r="H77" s="117"/>
      <c r="I77" s="118"/>
      <c r="J77" s="119"/>
      <c r="K77" s="116"/>
      <c r="L77" s="117"/>
      <c r="M77" s="118"/>
      <c r="N77" s="119"/>
    </row>
    <row r="78" spans="2:14" outlineLevel="2">
      <c r="B78" s="19"/>
      <c r="C78" s="542"/>
      <c r="D78" s="543"/>
      <c r="E78" s="543"/>
      <c r="F78" s="544"/>
      <c r="G78" s="116"/>
      <c r="H78" s="117"/>
      <c r="I78" s="118"/>
      <c r="J78" s="119"/>
      <c r="K78" s="116"/>
      <c r="L78" s="117"/>
      <c r="M78" s="118"/>
      <c r="N78" s="119"/>
    </row>
    <row r="79" spans="2:14" outlineLevel="2">
      <c r="B79" s="19"/>
      <c r="C79" s="19"/>
      <c r="D79" s="19"/>
      <c r="E79" s="19"/>
      <c r="F79" s="19"/>
      <c r="G79" s="116"/>
      <c r="H79" s="117"/>
      <c r="I79" s="118"/>
      <c r="J79" s="119"/>
      <c r="K79" s="116"/>
      <c r="L79" s="117"/>
      <c r="M79" s="118"/>
      <c r="N79" s="119"/>
    </row>
    <row r="80" spans="2:14" outlineLevel="1">
      <c r="B80" s="19"/>
      <c r="C80" s="19"/>
      <c r="D80" s="19"/>
      <c r="E80" s="19"/>
      <c r="F80" s="19"/>
      <c r="G80" s="116"/>
      <c r="H80" s="117"/>
      <c r="I80" s="118"/>
      <c r="J80" s="119"/>
      <c r="K80" s="116"/>
      <c r="L80" s="117"/>
      <c r="M80" s="118"/>
      <c r="N80" s="119"/>
    </row>
    <row r="81" spans="1:14" outlineLevel="1">
      <c r="B81" s="56"/>
      <c r="C81" s="56"/>
      <c r="D81" s="56"/>
      <c r="E81" s="56"/>
      <c r="F81" s="56"/>
      <c r="G81" s="116"/>
      <c r="H81" s="117"/>
      <c r="I81" s="118"/>
      <c r="J81" s="119"/>
      <c r="K81" s="116"/>
      <c r="L81" s="117"/>
      <c r="M81" s="118"/>
      <c r="N81" s="119"/>
    </row>
    <row r="82" spans="1:14" outlineLevel="1">
      <c r="A82" s="56"/>
      <c r="B82" s="57" t="s">
        <v>1134</v>
      </c>
      <c r="C82" s="57" t="s">
        <v>100</v>
      </c>
      <c r="D82" s="57"/>
      <c r="E82" s="57"/>
      <c r="F82" s="56"/>
      <c r="G82" s="116"/>
      <c r="H82" s="117"/>
      <c r="I82" s="118"/>
      <c r="J82" s="119"/>
      <c r="K82" s="116"/>
      <c r="L82" s="117"/>
      <c r="M82" s="118"/>
      <c r="N82" s="119"/>
    </row>
    <row r="83" spans="1:14" outlineLevel="1">
      <c r="B83" s="57"/>
      <c r="C83" s="57"/>
      <c r="D83" s="36" t="s">
        <v>108</v>
      </c>
      <c r="E83" s="36" t="s">
        <v>109</v>
      </c>
      <c r="F83" s="36" t="s">
        <v>110</v>
      </c>
      <c r="G83" s="116"/>
      <c r="H83" s="117"/>
      <c r="I83" s="118"/>
      <c r="J83" s="119"/>
      <c r="K83" s="116"/>
      <c r="L83" s="117"/>
      <c r="M83" s="118"/>
      <c r="N83" s="119"/>
    </row>
    <row r="84" spans="1:14" outlineLevel="1">
      <c r="B84" s="57"/>
      <c r="C84" s="57"/>
      <c r="D84" s="37"/>
      <c r="E84" s="37"/>
      <c r="F84" s="38"/>
      <c r="G84" s="116"/>
      <c r="H84" s="117"/>
      <c r="I84" s="118"/>
      <c r="J84" s="119"/>
      <c r="K84" s="116"/>
      <c r="L84" s="117"/>
      <c r="M84" s="118"/>
      <c r="N84" s="119"/>
    </row>
    <row r="85" spans="1:14" outlineLevel="2">
      <c r="B85" s="56"/>
      <c r="C85" s="57" t="s">
        <v>101</v>
      </c>
      <c r="D85" s="56"/>
      <c r="E85" s="56"/>
      <c r="F85" s="56"/>
      <c r="G85" s="116"/>
      <c r="H85" s="117"/>
      <c r="I85" s="118"/>
      <c r="J85" s="119"/>
      <c r="K85" s="116"/>
      <c r="L85" s="117"/>
      <c r="M85" s="118"/>
      <c r="N85" s="119"/>
    </row>
    <row r="86" spans="1:14" outlineLevel="2">
      <c r="B86" s="780" t="str">
        <f>IF('Datos ensayos LUM.'!D85&lt;&gt;FALSE,"ELEGIR UNA OPCIÓN","")</f>
        <v>ELEGIR UNA OPCIÓN</v>
      </c>
      <c r="C86" s="56"/>
      <c r="D86" s="778" t="s">
        <v>111</v>
      </c>
      <c r="E86" s="778"/>
      <c r="F86" s="778"/>
      <c r="G86" s="116"/>
      <c r="H86" s="117"/>
      <c r="I86" s="118"/>
      <c r="J86" s="119"/>
      <c r="K86" s="116"/>
      <c r="L86" s="117"/>
      <c r="M86" s="118"/>
      <c r="N86" s="119"/>
    </row>
    <row r="87" spans="1:14" outlineLevel="2">
      <c r="B87" s="780"/>
      <c r="C87" s="56"/>
      <c r="D87" s="778"/>
      <c r="E87" s="778"/>
      <c r="F87" s="778"/>
      <c r="G87" s="116"/>
      <c r="H87" s="117"/>
      <c r="I87" s="118"/>
      <c r="J87" s="119"/>
      <c r="K87" s="116"/>
      <c r="L87" s="117"/>
      <c r="M87" s="118"/>
      <c r="N87" s="119"/>
    </row>
    <row r="88" spans="1:14" outlineLevel="2">
      <c r="B88" s="780"/>
      <c r="C88" s="56"/>
      <c r="D88" s="56"/>
      <c r="E88" s="56"/>
      <c r="F88" s="56"/>
      <c r="G88" s="116"/>
      <c r="H88" s="117"/>
      <c r="I88" s="118"/>
      <c r="J88" s="119"/>
      <c r="K88" s="116"/>
      <c r="L88" s="117"/>
      <c r="M88" s="118"/>
      <c r="N88" s="119"/>
    </row>
    <row r="89" spans="1:14" outlineLevel="2">
      <c r="B89" s="56"/>
      <c r="C89" s="536" t="s">
        <v>98</v>
      </c>
      <c r="D89" s="537"/>
      <c r="E89" s="537"/>
      <c r="F89" s="538"/>
      <c r="G89" s="116"/>
      <c r="H89" s="117"/>
      <c r="I89" s="118"/>
      <c r="J89" s="119"/>
      <c r="K89" s="116"/>
      <c r="L89" s="117"/>
      <c r="M89" s="118"/>
      <c r="N89" s="119"/>
    </row>
    <row r="90" spans="1:14" outlineLevel="2">
      <c r="B90" s="56"/>
      <c r="C90" s="539"/>
      <c r="D90" s="540"/>
      <c r="E90" s="540"/>
      <c r="F90" s="541"/>
      <c r="G90" s="116"/>
      <c r="H90" s="117"/>
      <c r="I90" s="118"/>
      <c r="J90" s="119"/>
      <c r="K90" s="116"/>
      <c r="L90" s="117"/>
      <c r="M90" s="118"/>
      <c r="N90" s="119"/>
    </row>
    <row r="91" spans="1:14" outlineLevel="2">
      <c r="B91" s="56"/>
      <c r="C91" s="539"/>
      <c r="D91" s="540"/>
      <c r="E91" s="540"/>
      <c r="F91" s="541"/>
      <c r="G91" s="116"/>
      <c r="H91" s="117"/>
      <c r="I91" s="118"/>
      <c r="J91" s="119"/>
      <c r="K91" s="116"/>
      <c r="L91" s="117"/>
      <c r="M91" s="118"/>
      <c r="N91" s="119"/>
    </row>
    <row r="92" spans="1:14" outlineLevel="2">
      <c r="B92" s="56"/>
      <c r="C92" s="542"/>
      <c r="D92" s="543"/>
      <c r="E92" s="543"/>
      <c r="F92" s="544"/>
      <c r="G92" s="116"/>
      <c r="H92" s="117"/>
      <c r="I92" s="118"/>
      <c r="J92" s="119"/>
      <c r="K92" s="116"/>
      <c r="L92" s="117"/>
      <c r="M92" s="118"/>
      <c r="N92" s="119"/>
    </row>
    <row r="93" spans="1:14" outlineLevel="2">
      <c r="B93" s="56"/>
      <c r="C93" s="56"/>
      <c r="D93" s="56"/>
      <c r="E93" s="56"/>
      <c r="F93" s="56"/>
      <c r="G93" s="116"/>
      <c r="H93" s="117"/>
      <c r="I93" s="118"/>
      <c r="J93" s="119"/>
      <c r="K93" s="116"/>
      <c r="L93" s="117"/>
      <c r="M93" s="118"/>
      <c r="N93" s="119"/>
    </row>
    <row r="94" spans="1:14" outlineLevel="2">
      <c r="B94" s="56"/>
      <c r="C94" s="57" t="s">
        <v>114</v>
      </c>
      <c r="D94" s="56"/>
      <c r="E94" s="56"/>
      <c r="F94" s="56"/>
      <c r="G94" s="116"/>
      <c r="H94" s="117"/>
      <c r="I94" s="118"/>
      <c r="J94" s="119"/>
      <c r="K94" s="116"/>
      <c r="L94" s="117"/>
      <c r="M94" s="118"/>
      <c r="N94" s="119"/>
    </row>
    <row r="95" spans="1:14" ht="15" outlineLevel="2" thickBot="1">
      <c r="B95" s="780" t="str">
        <f>IF(OR('Datos ensayos LUM.'!L75,'Datos ensayos LUM.'!L76,'Datos ensayos LUM.'!L77)&lt;&gt;TRUE,"ELEGIR UNA OPCIÓN","")</f>
        <v>ELEGIR UNA OPCIÓN</v>
      </c>
      <c r="C95" s="56"/>
      <c r="D95" s="56"/>
      <c r="E95" s="56"/>
      <c r="F95" s="56"/>
      <c r="G95" s="116"/>
      <c r="H95" s="117"/>
      <c r="I95" s="118"/>
      <c r="J95" s="119"/>
      <c r="K95" s="116"/>
      <c r="L95" s="117"/>
      <c r="M95" s="118"/>
      <c r="N95" s="119"/>
    </row>
    <row r="96" spans="1:14" outlineLevel="2">
      <c r="B96" s="780"/>
      <c r="C96" s="56"/>
      <c r="D96" s="56" t="s">
        <v>115</v>
      </c>
      <c r="E96" s="56"/>
      <c r="F96" s="58" t="s">
        <v>116</v>
      </c>
      <c r="G96" s="193"/>
      <c r="H96" s="194"/>
      <c r="I96" s="194"/>
      <c r="J96" s="194"/>
      <c r="K96" s="194"/>
      <c r="L96" s="194"/>
      <c r="M96" s="194"/>
      <c r="N96" s="195"/>
    </row>
    <row r="97" spans="1:14" outlineLevel="2">
      <c r="B97" s="780"/>
      <c r="C97" s="56"/>
      <c r="D97" s="56"/>
      <c r="E97" s="56"/>
      <c r="F97" s="59" t="s">
        <v>117</v>
      </c>
      <c r="G97" s="196"/>
      <c r="H97" s="197"/>
      <c r="I97" s="197"/>
      <c r="J97" s="197"/>
      <c r="K97" s="197"/>
      <c r="L97" s="197"/>
      <c r="M97" s="197"/>
      <c r="N97" s="198"/>
    </row>
    <row r="98" spans="1:14" ht="15" outlineLevel="2" thickBot="1">
      <c r="B98" s="56"/>
      <c r="C98" s="56"/>
      <c r="D98" s="56"/>
      <c r="E98" s="164" t="str">
        <f>IF(AND('Datos ensayos LUM.'!L77=TRUE,'Datos ensayos LUM.'!L79=FALSE),"INTRODUCIR DIMENSIONES -&gt; ","")</f>
        <v/>
      </c>
      <c r="F98" s="60" t="s">
        <v>118</v>
      </c>
      <c r="G98" s="199"/>
      <c r="H98" s="200"/>
      <c r="I98" s="200"/>
      <c r="J98" s="200"/>
      <c r="K98" s="200"/>
      <c r="L98" s="200"/>
      <c r="M98" s="200"/>
      <c r="N98" s="201"/>
    </row>
    <row r="99" spans="1:14" outlineLevel="2">
      <c r="B99" s="56"/>
      <c r="C99" s="783" t="s">
        <v>332</v>
      </c>
      <c r="D99" s="783"/>
      <c r="E99" s="783"/>
      <c r="F99" s="783"/>
      <c r="G99" s="116"/>
      <c r="H99" s="117"/>
      <c r="I99" s="118"/>
      <c r="J99" s="119"/>
      <c r="K99" s="116"/>
      <c r="L99" s="117"/>
      <c r="M99" s="118"/>
      <c r="N99" s="119"/>
    </row>
    <row r="100" spans="1:14" outlineLevel="2">
      <c r="B100" s="56"/>
      <c r="C100" s="783"/>
      <c r="D100" s="783"/>
      <c r="E100" s="783"/>
      <c r="F100" s="783"/>
      <c r="G100" s="116"/>
      <c r="H100" s="117"/>
      <c r="I100" s="118"/>
      <c r="J100" s="119"/>
      <c r="K100" s="116"/>
      <c r="L100" s="117"/>
      <c r="M100" s="118"/>
      <c r="N100" s="119"/>
    </row>
    <row r="101" spans="1:14" outlineLevel="2">
      <c r="B101" s="56"/>
      <c r="C101" s="56"/>
      <c r="D101" s="56"/>
      <c r="E101" s="56"/>
      <c r="F101" s="56"/>
      <c r="G101" s="116"/>
      <c r="H101" s="117"/>
      <c r="I101" s="118"/>
      <c r="J101" s="119"/>
      <c r="K101" s="116"/>
      <c r="L101" s="117"/>
      <c r="M101" s="118"/>
      <c r="N101" s="119"/>
    </row>
    <row r="102" spans="1:14" outlineLevel="2">
      <c r="B102" s="56"/>
      <c r="C102" s="57" t="s">
        <v>107</v>
      </c>
      <c r="D102" s="56"/>
      <c r="E102" s="56"/>
      <c r="F102" s="56"/>
      <c r="G102" s="116"/>
      <c r="H102" s="117"/>
      <c r="I102" s="118"/>
      <c r="J102" s="119"/>
      <c r="K102" s="116"/>
      <c r="L102" s="117"/>
      <c r="M102" s="118"/>
      <c r="N102" s="119"/>
    </row>
    <row r="103" spans="1:14" outlineLevel="2">
      <c r="B103" s="781"/>
      <c r="C103" s="56"/>
      <c r="D103" s="56"/>
      <c r="E103" s="56"/>
      <c r="F103" s="56"/>
      <c r="G103" s="116"/>
      <c r="H103" s="117"/>
      <c r="I103" s="118"/>
      <c r="J103" s="119"/>
      <c r="K103" s="116"/>
      <c r="L103" s="117"/>
      <c r="M103" s="118"/>
      <c r="N103" s="119"/>
    </row>
    <row r="104" spans="1:14" outlineLevel="2">
      <c r="B104" s="781"/>
      <c r="C104" s="56"/>
      <c r="D104" s="56"/>
      <c r="E104" s="56"/>
      <c r="F104" s="56"/>
      <c r="G104" s="116"/>
      <c r="H104" s="117"/>
      <c r="I104" s="118"/>
      <c r="J104" s="119"/>
      <c r="K104" s="116"/>
      <c r="L104" s="117"/>
      <c r="M104" s="118"/>
      <c r="N104" s="119"/>
    </row>
    <row r="105" spans="1:14" outlineLevel="2">
      <c r="B105" s="56"/>
      <c r="C105" s="536" t="s">
        <v>98</v>
      </c>
      <c r="D105" s="537"/>
      <c r="E105" s="537"/>
      <c r="F105" s="538"/>
      <c r="G105" s="116"/>
      <c r="H105" s="117"/>
      <c r="I105" s="118"/>
      <c r="J105" s="119"/>
      <c r="K105" s="116"/>
      <c r="L105" s="117"/>
      <c r="M105" s="118"/>
      <c r="N105" s="119"/>
    </row>
    <row r="106" spans="1:14" outlineLevel="2">
      <c r="B106" s="56"/>
      <c r="C106" s="539"/>
      <c r="D106" s="540"/>
      <c r="E106" s="540"/>
      <c r="F106" s="541"/>
      <c r="G106" s="116"/>
      <c r="H106" s="117"/>
      <c r="I106" s="118"/>
      <c r="J106" s="119"/>
      <c r="K106" s="116"/>
      <c r="L106" s="117"/>
      <c r="M106" s="118"/>
      <c r="N106" s="119"/>
    </row>
    <row r="107" spans="1:14" outlineLevel="2">
      <c r="B107" s="56"/>
      <c r="C107" s="539"/>
      <c r="D107" s="540"/>
      <c r="E107" s="540"/>
      <c r="F107" s="541"/>
      <c r="G107" s="116"/>
      <c r="H107" s="117"/>
      <c r="I107" s="118"/>
      <c r="J107" s="119"/>
      <c r="K107" s="116"/>
      <c r="L107" s="117"/>
      <c r="M107" s="118"/>
      <c r="N107" s="119"/>
    </row>
    <row r="108" spans="1:14" outlineLevel="2">
      <c r="B108" s="56"/>
      <c r="C108" s="542"/>
      <c r="D108" s="543"/>
      <c r="E108" s="543"/>
      <c r="F108" s="544"/>
      <c r="G108" s="116"/>
      <c r="H108" s="117"/>
      <c r="I108" s="118"/>
      <c r="J108" s="119"/>
      <c r="K108" s="116"/>
      <c r="L108" s="117"/>
      <c r="M108" s="118"/>
      <c r="N108" s="119"/>
    </row>
    <row r="109" spans="1:14" outlineLevel="2">
      <c r="B109" s="56"/>
      <c r="C109" s="56"/>
      <c r="D109" s="56"/>
      <c r="E109" s="56"/>
      <c r="F109" s="56"/>
      <c r="G109" s="116"/>
      <c r="H109" s="117"/>
      <c r="I109" s="118"/>
      <c r="J109" s="119"/>
      <c r="K109" s="116"/>
      <c r="L109" s="117"/>
      <c r="M109" s="118"/>
      <c r="N109" s="119"/>
    </row>
    <row r="110" spans="1:14" outlineLevel="1">
      <c r="B110" s="56"/>
      <c r="C110" s="56"/>
      <c r="D110" s="56"/>
      <c r="E110" s="56"/>
      <c r="F110" s="56"/>
      <c r="G110" s="116"/>
      <c r="H110" s="117"/>
      <c r="I110" s="118"/>
      <c r="J110" s="119"/>
      <c r="K110" s="116"/>
      <c r="L110" s="117"/>
      <c r="M110" s="118"/>
      <c r="N110" s="119"/>
    </row>
    <row r="111" spans="1:14" outlineLevel="1">
      <c r="B111" s="10"/>
      <c r="C111" s="10"/>
      <c r="D111" s="10"/>
      <c r="E111" s="10"/>
      <c r="F111" s="10"/>
      <c r="G111" s="116"/>
      <c r="H111" s="117"/>
      <c r="I111" s="118"/>
      <c r="J111" s="119"/>
      <c r="K111" s="116"/>
      <c r="L111" s="117"/>
      <c r="M111" s="118"/>
      <c r="N111" s="119"/>
    </row>
    <row r="112" spans="1:14" outlineLevel="1">
      <c r="A112" s="10"/>
      <c r="B112" s="46" t="s">
        <v>1137</v>
      </c>
      <c r="C112" s="46" t="s">
        <v>297</v>
      </c>
      <c r="D112" s="46"/>
      <c r="E112" s="46"/>
      <c r="F112" s="10"/>
      <c r="G112" s="116"/>
      <c r="H112" s="117"/>
      <c r="I112" s="118"/>
      <c r="J112" s="119"/>
      <c r="K112" s="116"/>
      <c r="L112" s="117"/>
      <c r="M112" s="118"/>
      <c r="N112" s="119"/>
    </row>
    <row r="113" spans="1:14" outlineLevel="1">
      <c r="B113" s="46"/>
      <c r="C113" s="46"/>
      <c r="D113" s="36" t="s">
        <v>108</v>
      </c>
      <c r="E113" s="36" t="s">
        <v>109</v>
      </c>
      <c r="F113" s="36" t="s">
        <v>110</v>
      </c>
      <c r="G113" s="116"/>
      <c r="H113" s="117"/>
      <c r="I113" s="118"/>
      <c r="J113" s="119"/>
      <c r="K113" s="116"/>
      <c r="L113" s="117"/>
      <c r="M113" s="118"/>
      <c r="N113" s="119"/>
    </row>
    <row r="114" spans="1:14" outlineLevel="1">
      <c r="B114" s="46"/>
      <c r="C114" s="46"/>
      <c r="D114" s="37"/>
      <c r="E114" s="37"/>
      <c r="F114" s="38">
        <v>1</v>
      </c>
      <c r="G114" s="116"/>
      <c r="H114" s="117"/>
      <c r="I114" s="118"/>
      <c r="J114" s="119"/>
      <c r="K114" s="116"/>
      <c r="L114" s="117"/>
      <c r="M114" s="118"/>
      <c r="N114" s="119"/>
    </row>
    <row r="115" spans="1:14" outlineLevel="3">
      <c r="A115" s="168"/>
      <c r="B115" s="10"/>
      <c r="C115" s="10"/>
      <c r="D115" s="10"/>
      <c r="E115" s="10"/>
      <c r="F115" s="10"/>
      <c r="G115" s="116"/>
      <c r="H115" s="117"/>
      <c r="I115" s="118"/>
      <c r="J115" s="119"/>
      <c r="K115" s="116"/>
      <c r="L115" s="117"/>
      <c r="M115" s="118"/>
      <c r="N115" s="119"/>
    </row>
    <row r="116" spans="1:14" outlineLevel="3">
      <c r="A116" s="168"/>
      <c r="B116" s="532" t="b">
        <v>1</v>
      </c>
      <c r="C116" s="10" t="s">
        <v>1112</v>
      </c>
      <c r="D116" s="10"/>
      <c r="E116" s="10"/>
      <c r="F116" s="10"/>
      <c r="G116" s="116"/>
      <c r="H116" s="117"/>
      <c r="I116" s="118"/>
      <c r="J116" s="119"/>
      <c r="K116" s="116"/>
      <c r="L116" s="117"/>
      <c r="M116" s="118"/>
      <c r="N116" s="119"/>
    </row>
    <row r="117" spans="1:14" outlineLevel="3">
      <c r="A117" s="168"/>
      <c r="B117" s="533"/>
      <c r="C117" s="10"/>
      <c r="D117" s="10"/>
      <c r="E117" s="10"/>
      <c r="F117" s="10"/>
      <c r="G117" s="116"/>
      <c r="H117" s="117"/>
      <c r="I117" s="118"/>
      <c r="J117" s="119"/>
      <c r="K117" s="116"/>
      <c r="L117" s="117"/>
      <c r="M117" s="118"/>
      <c r="N117" s="119"/>
    </row>
    <row r="118" spans="1:14" outlineLevel="3">
      <c r="A118" s="168"/>
      <c r="B118" s="532" t="b">
        <v>0</v>
      </c>
      <c r="C118" s="10" t="s">
        <v>1118</v>
      </c>
      <c r="D118" s="10"/>
      <c r="E118" s="10"/>
      <c r="F118" s="10"/>
      <c r="G118" s="116"/>
      <c r="H118" s="117"/>
      <c r="I118" s="118"/>
      <c r="J118" s="119"/>
      <c r="K118" s="116"/>
      <c r="L118" s="117"/>
      <c r="M118" s="118"/>
      <c r="N118" s="119"/>
    </row>
    <row r="119" spans="1:14" outlineLevel="3">
      <c r="A119" s="168"/>
      <c r="B119" s="10"/>
      <c r="C119" s="534" t="s">
        <v>1116</v>
      </c>
      <c r="D119" s="10"/>
      <c r="E119" s="10"/>
      <c r="F119" s="10"/>
      <c r="G119" s="116"/>
      <c r="H119" s="117"/>
      <c r="I119" s="118"/>
      <c r="J119" s="119"/>
      <c r="K119" s="116"/>
      <c r="L119" s="117"/>
      <c r="M119" s="118"/>
      <c r="N119" s="119"/>
    </row>
    <row r="120" spans="1:14" outlineLevel="3">
      <c r="A120" s="168"/>
      <c r="B120" s="10"/>
      <c r="C120" s="10"/>
      <c r="D120" s="10"/>
      <c r="E120" s="10"/>
      <c r="F120" s="10"/>
      <c r="G120" s="116"/>
      <c r="H120" s="117"/>
      <c r="I120" s="118"/>
      <c r="J120" s="119"/>
      <c r="K120" s="116"/>
      <c r="L120" s="117"/>
      <c r="M120" s="118"/>
      <c r="N120" s="119"/>
    </row>
    <row r="121" spans="1:14" outlineLevel="3">
      <c r="A121" s="168"/>
      <c r="B121" s="10"/>
      <c r="C121" s="10"/>
      <c r="D121" s="231" t="str">
        <f>IF('Datos ensayos LUM.'!B119=FALSE,"COMPLETAR ENSAYO DE HUMEDAD 48H","")</f>
        <v/>
      </c>
      <c r="E121" s="10"/>
      <c r="F121" s="10"/>
      <c r="G121" s="514"/>
      <c r="H121" s="117"/>
      <c r="I121" s="118"/>
      <c r="J121" s="119"/>
      <c r="K121" s="116"/>
      <c r="L121" s="117"/>
      <c r="M121" s="118"/>
      <c r="N121" s="119"/>
    </row>
    <row r="122" spans="1:14" ht="14.85" customHeight="1" outlineLevel="3">
      <c r="A122" s="168"/>
      <c r="B122" s="10"/>
      <c r="C122" s="10"/>
      <c r="D122" s="10"/>
      <c r="E122" s="797" t="s">
        <v>978</v>
      </c>
      <c r="F122" s="513" t="s">
        <v>948</v>
      </c>
      <c r="G122" s="515"/>
      <c r="H122" s="515"/>
      <c r="I122" s="515"/>
      <c r="J122" s="515"/>
      <c r="K122" s="515"/>
      <c r="L122" s="515"/>
      <c r="M122" s="515"/>
      <c r="N122" s="515"/>
    </row>
    <row r="123" spans="1:14" outlineLevel="3">
      <c r="A123" s="168"/>
      <c r="B123" s="10"/>
      <c r="C123" s="10"/>
      <c r="D123" s="10"/>
      <c r="E123" s="797"/>
      <c r="F123" s="513" t="s">
        <v>986</v>
      </c>
      <c r="G123" s="516"/>
      <c r="H123" s="516"/>
      <c r="I123" s="516"/>
      <c r="J123" s="516"/>
      <c r="K123" s="516"/>
      <c r="L123" s="516"/>
      <c r="M123" s="516"/>
      <c r="N123" s="516"/>
    </row>
    <row r="124" spans="1:14" outlineLevel="3">
      <c r="A124" s="168"/>
      <c r="B124" s="10"/>
      <c r="C124" s="50"/>
      <c r="D124" s="10"/>
      <c r="E124" s="797"/>
      <c r="F124" s="513" t="s">
        <v>947</v>
      </c>
      <c r="G124" s="515"/>
      <c r="H124" s="515"/>
      <c r="I124" s="515"/>
      <c r="J124" s="515"/>
      <c r="K124" s="515"/>
      <c r="L124" s="515"/>
      <c r="M124" s="515"/>
      <c r="N124" s="515"/>
    </row>
    <row r="125" spans="1:14" outlineLevel="3">
      <c r="A125" s="168"/>
      <c r="B125" s="10"/>
      <c r="C125" s="10"/>
      <c r="D125" s="10"/>
      <c r="E125" s="797"/>
      <c r="F125" s="513" t="s">
        <v>987</v>
      </c>
      <c r="G125" s="516"/>
      <c r="H125" s="516"/>
      <c r="I125" s="516"/>
      <c r="J125" s="516"/>
      <c r="K125" s="516"/>
      <c r="L125" s="516"/>
      <c r="M125" s="516"/>
      <c r="N125" s="516"/>
    </row>
    <row r="126" spans="1:14" outlineLevel="3">
      <c r="A126" s="168"/>
      <c r="B126" s="10"/>
      <c r="C126" s="10"/>
      <c r="D126" s="10"/>
      <c r="E126" s="10"/>
      <c r="F126" s="10"/>
      <c r="G126" s="514"/>
      <c r="H126" s="117"/>
      <c r="I126" s="118"/>
      <c r="J126" s="119"/>
      <c r="K126" s="116"/>
      <c r="L126" s="117"/>
      <c r="M126" s="118"/>
      <c r="N126" s="119"/>
    </row>
    <row r="127" spans="1:14" outlineLevel="3">
      <c r="A127" s="168"/>
      <c r="B127" s="10"/>
      <c r="C127" s="260" t="s">
        <v>979</v>
      </c>
      <c r="D127" s="237" t="s">
        <v>980</v>
      </c>
      <c r="E127" s="10"/>
      <c r="F127" s="10"/>
      <c r="G127" s="514"/>
      <c r="H127" s="117"/>
      <c r="I127" s="118"/>
      <c r="J127" s="119"/>
      <c r="K127" s="116"/>
      <c r="L127" s="117"/>
      <c r="M127" s="118"/>
      <c r="N127" s="119"/>
    </row>
    <row r="128" spans="1:14" outlineLevel="3">
      <c r="A128" s="168"/>
      <c r="B128" s="10"/>
      <c r="C128" s="260" t="s">
        <v>981</v>
      </c>
      <c r="D128" s="512">
        <v>0.93</v>
      </c>
      <c r="E128" s="10"/>
      <c r="F128" s="10"/>
      <c r="G128" s="514"/>
      <c r="H128" s="117"/>
      <c r="I128" s="118"/>
      <c r="J128" s="119"/>
      <c r="K128" s="116"/>
      <c r="L128" s="117"/>
      <c r="M128" s="118"/>
      <c r="N128" s="119"/>
    </row>
    <row r="129" spans="1:14" outlineLevel="3">
      <c r="A129" s="168"/>
      <c r="B129" s="10"/>
      <c r="C129" s="10"/>
      <c r="D129" s="10"/>
      <c r="E129" s="10"/>
      <c r="F129" s="10"/>
      <c r="G129" s="514"/>
      <c r="H129" s="117"/>
      <c r="I129" s="118"/>
      <c r="J129" s="119"/>
      <c r="K129" s="116"/>
      <c r="L129" s="117"/>
      <c r="M129" s="118"/>
      <c r="N129" s="119"/>
    </row>
    <row r="130" spans="1:14" outlineLevel="3">
      <c r="A130" s="168"/>
      <c r="B130" s="10"/>
      <c r="C130" s="534" t="s">
        <v>1117</v>
      </c>
      <c r="D130" s="10"/>
      <c r="E130" s="10"/>
      <c r="F130" s="10"/>
      <c r="G130" s="514"/>
      <c r="H130" s="117"/>
      <c r="I130" s="118"/>
      <c r="J130" s="119"/>
      <c r="K130" s="116"/>
      <c r="L130" s="117"/>
      <c r="M130" s="118"/>
      <c r="N130" s="119"/>
    </row>
    <row r="131" spans="1:14" outlineLevel="3">
      <c r="A131" s="168"/>
      <c r="B131" s="10"/>
      <c r="C131" s="10"/>
      <c r="D131" s="231" t="str">
        <f>IF('Datos ensayos LUM.'!B125=FALSE,"COMPLETAR CALENTAMIENTO","")</f>
        <v/>
      </c>
      <c r="E131" s="10"/>
      <c r="F131" s="10"/>
      <c r="G131" s="514"/>
      <c r="H131" s="117"/>
      <c r="I131" s="118"/>
      <c r="J131" s="119"/>
      <c r="K131" s="116"/>
      <c r="L131" s="117"/>
      <c r="M131" s="118"/>
      <c r="N131" s="119"/>
    </row>
    <row r="132" spans="1:14" ht="14.85" customHeight="1" outlineLevel="3">
      <c r="A132" s="168"/>
      <c r="B132" s="10"/>
      <c r="C132" s="10"/>
      <c r="D132" s="10"/>
      <c r="E132" s="797" t="s">
        <v>978</v>
      </c>
      <c r="F132" s="513" t="s">
        <v>948</v>
      </c>
      <c r="G132" s="515"/>
      <c r="H132" s="515"/>
      <c r="I132" s="515"/>
      <c r="J132" s="515"/>
      <c r="K132" s="515"/>
      <c r="L132" s="515"/>
      <c r="M132" s="515"/>
      <c r="N132" s="515"/>
    </row>
    <row r="133" spans="1:14" outlineLevel="3">
      <c r="A133" s="168"/>
      <c r="B133" s="10"/>
      <c r="C133" s="10"/>
      <c r="D133" s="10"/>
      <c r="E133" s="797"/>
      <c r="F133" s="513" t="s">
        <v>986</v>
      </c>
      <c r="G133" s="516"/>
      <c r="H133" s="516"/>
      <c r="I133" s="516"/>
      <c r="J133" s="516"/>
      <c r="K133" s="516"/>
      <c r="L133" s="516"/>
      <c r="M133" s="516"/>
      <c r="N133" s="516"/>
    </row>
    <row r="134" spans="1:14" outlineLevel="3">
      <c r="A134" s="168"/>
      <c r="B134" s="10"/>
      <c r="C134" s="10"/>
      <c r="D134" s="10"/>
      <c r="E134" s="797"/>
      <c r="F134" s="513" t="s">
        <v>947</v>
      </c>
      <c r="G134" s="515"/>
      <c r="H134" s="515"/>
      <c r="I134" s="515"/>
      <c r="J134" s="515"/>
      <c r="K134" s="515"/>
      <c r="L134" s="515"/>
      <c r="M134" s="515"/>
      <c r="N134" s="515"/>
    </row>
    <row r="135" spans="1:14" outlineLevel="3">
      <c r="A135" s="168"/>
      <c r="B135" s="10"/>
      <c r="C135" s="10"/>
      <c r="D135" s="10"/>
      <c r="E135" s="797"/>
      <c r="F135" s="513" t="s">
        <v>987</v>
      </c>
      <c r="G135" s="516"/>
      <c r="H135" s="516"/>
      <c r="I135" s="516"/>
      <c r="J135" s="516"/>
      <c r="K135" s="516"/>
      <c r="L135" s="516"/>
      <c r="M135" s="516"/>
      <c r="N135" s="516"/>
    </row>
    <row r="136" spans="1:14" outlineLevel="3">
      <c r="A136" s="168"/>
      <c r="B136" s="10"/>
      <c r="C136" s="10"/>
      <c r="D136" s="10"/>
      <c r="E136" s="10"/>
      <c r="F136" s="10"/>
      <c r="G136" s="514"/>
      <c r="H136" s="117"/>
      <c r="I136" s="118"/>
      <c r="J136" s="119"/>
      <c r="K136" s="116"/>
      <c r="L136" s="117"/>
      <c r="M136" s="118"/>
      <c r="N136" s="119"/>
    </row>
    <row r="137" spans="1:14" outlineLevel="3">
      <c r="A137" s="168"/>
      <c r="B137" s="10"/>
      <c r="C137" s="10"/>
      <c r="D137" s="10"/>
      <c r="E137" s="10"/>
      <c r="F137" s="10"/>
      <c r="G137" s="514"/>
      <c r="H137" s="117"/>
      <c r="I137" s="118"/>
      <c r="J137" s="119"/>
      <c r="K137" s="116"/>
      <c r="L137" s="117"/>
      <c r="M137" s="118"/>
      <c r="N137" s="119"/>
    </row>
    <row r="138" spans="1:14" outlineLevel="3">
      <c r="A138" s="168"/>
      <c r="B138" s="10"/>
      <c r="C138" s="10" t="s">
        <v>298</v>
      </c>
      <c r="D138" s="10"/>
      <c r="E138" s="10"/>
      <c r="F138" s="10"/>
      <c r="G138" s="116"/>
      <c r="H138" s="117"/>
      <c r="I138" s="118"/>
      <c r="J138" s="119"/>
      <c r="K138" s="116"/>
      <c r="L138" s="117"/>
      <c r="M138" s="118"/>
      <c r="N138" s="119"/>
    </row>
    <row r="139" spans="1:14" outlineLevel="3">
      <c r="A139" s="168"/>
      <c r="B139" s="782" t="str">
        <f>IF('Datos ensayos LUM.'!D110=FALSE,"SELECCIONAR UNO","")</f>
        <v/>
      </c>
      <c r="C139" s="10"/>
      <c r="D139" s="10"/>
      <c r="E139" s="10"/>
      <c r="F139" s="10"/>
      <c r="G139" s="116"/>
      <c r="H139" s="117"/>
      <c r="I139" s="118"/>
      <c r="J139" s="119"/>
      <c r="K139" s="116"/>
      <c r="L139" s="117"/>
      <c r="M139" s="118"/>
      <c r="N139" s="119"/>
    </row>
    <row r="140" spans="1:14" outlineLevel="3">
      <c r="A140" s="168"/>
      <c r="B140" s="782"/>
      <c r="C140" s="10"/>
      <c r="D140" s="10"/>
      <c r="E140" s="10"/>
      <c r="F140" s="10"/>
      <c r="G140" s="116"/>
      <c r="H140" s="117"/>
      <c r="I140" s="118"/>
      <c r="J140" s="119"/>
      <c r="K140" s="116"/>
      <c r="L140" s="117"/>
      <c r="M140" s="118"/>
      <c r="N140" s="119"/>
    </row>
    <row r="141" spans="1:14" outlineLevel="3">
      <c r="B141" s="10"/>
      <c r="C141" s="10"/>
      <c r="D141" s="10"/>
      <c r="E141" s="10"/>
      <c r="F141" s="10"/>
      <c r="G141" s="116"/>
      <c r="H141" s="117"/>
      <c r="I141" s="118"/>
      <c r="J141" s="119"/>
      <c r="K141" s="116"/>
      <c r="L141" s="117"/>
      <c r="M141" s="118"/>
      <c r="N141" s="119"/>
    </row>
    <row r="142" spans="1:14" outlineLevel="3">
      <c r="B142" s="10"/>
      <c r="C142" s="536" t="s">
        <v>98</v>
      </c>
      <c r="D142" s="537"/>
      <c r="E142" s="537"/>
      <c r="F142" s="538"/>
      <c r="G142" s="116"/>
      <c r="H142" s="117"/>
      <c r="I142" s="118"/>
      <c r="J142" s="119"/>
      <c r="K142" s="116"/>
      <c r="L142" s="117"/>
      <c r="M142" s="118"/>
      <c r="N142" s="119"/>
    </row>
    <row r="143" spans="1:14" outlineLevel="3">
      <c r="B143" s="10"/>
      <c r="C143" s="539"/>
      <c r="D143" s="540"/>
      <c r="E143" s="540"/>
      <c r="F143" s="541"/>
      <c r="G143" s="116"/>
      <c r="H143" s="117"/>
      <c r="I143" s="118"/>
      <c r="J143" s="119"/>
      <c r="K143" s="116"/>
      <c r="L143" s="117"/>
      <c r="M143" s="118"/>
      <c r="N143" s="119"/>
    </row>
    <row r="144" spans="1:14" outlineLevel="3">
      <c r="B144" s="10"/>
      <c r="C144" s="539"/>
      <c r="D144" s="540"/>
      <c r="E144" s="540"/>
      <c r="F144" s="541"/>
      <c r="G144" s="116"/>
      <c r="H144" s="117"/>
      <c r="I144" s="118"/>
      <c r="J144" s="119"/>
      <c r="K144" s="116"/>
      <c r="L144" s="117"/>
      <c r="M144" s="118"/>
      <c r="N144" s="119"/>
    </row>
    <row r="145" spans="1:14" outlineLevel="3">
      <c r="B145" s="10"/>
      <c r="C145" s="542"/>
      <c r="D145" s="543"/>
      <c r="E145" s="543"/>
      <c r="F145" s="544"/>
      <c r="G145" s="116"/>
      <c r="H145" s="117"/>
      <c r="I145" s="118"/>
      <c r="J145" s="119"/>
      <c r="K145" s="116"/>
      <c r="L145" s="117"/>
      <c r="M145" s="118"/>
      <c r="N145" s="119"/>
    </row>
    <row r="146" spans="1:14" outlineLevel="3">
      <c r="B146" s="10"/>
      <c r="C146" s="10"/>
      <c r="D146" s="10"/>
      <c r="E146" s="10"/>
      <c r="F146" s="10"/>
      <c r="G146" s="116"/>
      <c r="H146" s="117"/>
      <c r="I146" s="118"/>
      <c r="J146" s="119"/>
      <c r="K146" s="116"/>
      <c r="L146" s="117"/>
      <c r="M146" s="118"/>
      <c r="N146" s="119"/>
    </row>
    <row r="147" spans="1:14" outlineLevel="1">
      <c r="B147" s="10"/>
      <c r="C147" s="10"/>
      <c r="D147" s="10"/>
      <c r="E147" s="10"/>
      <c r="F147" s="10"/>
      <c r="G147" s="116"/>
      <c r="H147" s="117"/>
      <c r="I147" s="118"/>
      <c r="J147" s="119"/>
      <c r="K147" s="116"/>
      <c r="L147" s="117"/>
      <c r="M147" s="118"/>
      <c r="N147" s="119"/>
    </row>
    <row r="148" spans="1:14" outlineLevel="1">
      <c r="B148" s="9"/>
      <c r="C148" s="9"/>
      <c r="D148" s="9"/>
      <c r="E148" s="9"/>
      <c r="F148" s="9"/>
      <c r="G148" s="116"/>
      <c r="H148" s="117"/>
      <c r="I148" s="118"/>
      <c r="J148" s="119"/>
      <c r="K148" s="116"/>
      <c r="L148" s="117"/>
      <c r="M148" s="118"/>
      <c r="N148" s="119"/>
    </row>
    <row r="149" spans="1:14" outlineLevel="1">
      <c r="A149" s="9"/>
      <c r="B149" s="61" t="s">
        <v>1138</v>
      </c>
      <c r="C149" s="61" t="s">
        <v>102</v>
      </c>
      <c r="D149" s="61"/>
      <c r="E149" s="61"/>
      <c r="F149" s="9"/>
      <c r="G149" s="116"/>
      <c r="H149" s="117"/>
      <c r="I149" s="118"/>
      <c r="J149" s="119"/>
      <c r="K149" s="116"/>
      <c r="L149" s="117"/>
      <c r="M149" s="118"/>
      <c r="N149" s="119"/>
    </row>
    <row r="150" spans="1:14" outlineLevel="1">
      <c r="B150" s="61"/>
      <c r="C150" s="61"/>
      <c r="D150" s="36" t="s">
        <v>108</v>
      </c>
      <c r="E150" s="36" t="s">
        <v>109</v>
      </c>
      <c r="F150" s="36" t="s">
        <v>110</v>
      </c>
      <c r="G150" s="116"/>
      <c r="H150" s="117"/>
      <c r="I150" s="118"/>
      <c r="J150" s="119"/>
      <c r="K150" s="116"/>
      <c r="L150" s="117"/>
      <c r="M150" s="118"/>
      <c r="N150" s="119"/>
    </row>
    <row r="151" spans="1:14" outlineLevel="1">
      <c r="B151" s="61"/>
      <c r="C151" s="61"/>
      <c r="D151" s="37"/>
      <c r="E151" s="37"/>
      <c r="F151" s="38"/>
      <c r="G151" s="116"/>
      <c r="H151" s="117"/>
      <c r="I151" s="118"/>
      <c r="J151" s="119"/>
      <c r="K151" s="116"/>
      <c r="L151" s="117"/>
      <c r="M151" s="118"/>
      <c r="N151" s="119"/>
    </row>
    <row r="152" spans="1:14" outlineLevel="3">
      <c r="B152" s="9"/>
      <c r="C152" s="9" t="s">
        <v>119</v>
      </c>
      <c r="D152" s="9"/>
      <c r="E152" s="9"/>
      <c r="F152" s="9"/>
      <c r="G152" s="116"/>
      <c r="H152" s="117"/>
      <c r="I152" s="118"/>
      <c r="J152" s="119"/>
      <c r="K152" s="116"/>
      <c r="L152" s="117"/>
      <c r="M152" s="118"/>
      <c r="N152" s="119"/>
    </row>
    <row r="153" spans="1:14" outlineLevel="3">
      <c r="B153" s="9"/>
      <c r="C153" s="9"/>
      <c r="D153" s="9"/>
      <c r="E153" s="9"/>
      <c r="F153" s="9"/>
      <c r="G153" s="116"/>
      <c r="H153" s="117"/>
      <c r="I153" s="118"/>
      <c r="J153" s="119"/>
      <c r="K153" s="116"/>
      <c r="L153" s="117"/>
      <c r="M153" s="118"/>
      <c r="N153" s="119"/>
    </row>
    <row r="154" spans="1:14" outlineLevel="3">
      <c r="B154" s="9"/>
      <c r="C154" s="9"/>
      <c r="D154" s="9"/>
      <c r="E154" s="9"/>
      <c r="F154" s="9"/>
      <c r="G154" s="116"/>
      <c r="H154" s="117"/>
      <c r="I154" s="118"/>
      <c r="J154" s="119"/>
      <c r="K154" s="116"/>
      <c r="L154" s="117"/>
      <c r="M154" s="118"/>
      <c r="N154" s="119"/>
    </row>
    <row r="155" spans="1:14" outlineLevel="3">
      <c r="B155" s="9"/>
      <c r="C155" s="9"/>
      <c r="D155" s="9"/>
      <c r="E155" s="9"/>
      <c r="F155" s="9"/>
      <c r="G155" s="116"/>
      <c r="H155" s="117"/>
      <c r="I155" s="118"/>
      <c r="J155" s="119"/>
      <c r="K155" s="116"/>
      <c r="L155" s="117"/>
      <c r="M155" s="118"/>
      <c r="N155" s="119"/>
    </row>
    <row r="156" spans="1:14" outlineLevel="3">
      <c r="B156" s="9"/>
      <c r="C156" s="536" t="s">
        <v>98</v>
      </c>
      <c r="D156" s="537"/>
      <c r="E156" s="537"/>
      <c r="F156" s="538"/>
      <c r="G156" s="116"/>
      <c r="H156" s="117"/>
      <c r="I156" s="118"/>
      <c r="J156" s="119"/>
      <c r="K156" s="116"/>
      <c r="L156" s="117"/>
      <c r="M156" s="118"/>
      <c r="N156" s="119"/>
    </row>
    <row r="157" spans="1:14" outlineLevel="3">
      <c r="B157" s="9"/>
      <c r="C157" s="539"/>
      <c r="D157" s="540"/>
      <c r="E157" s="540"/>
      <c r="F157" s="541"/>
      <c r="G157" s="116"/>
      <c r="H157" s="117"/>
      <c r="I157" s="118"/>
      <c r="J157" s="119"/>
      <c r="K157" s="116"/>
      <c r="L157" s="117"/>
      <c r="M157" s="118"/>
      <c r="N157" s="119"/>
    </row>
    <row r="158" spans="1:14" outlineLevel="3">
      <c r="B158" s="9"/>
      <c r="C158" s="539"/>
      <c r="D158" s="540"/>
      <c r="E158" s="540"/>
      <c r="F158" s="541"/>
      <c r="G158" s="116"/>
      <c r="H158" s="117"/>
      <c r="I158" s="118"/>
      <c r="J158" s="119"/>
      <c r="K158" s="116"/>
      <c r="L158" s="117"/>
      <c r="M158" s="118"/>
      <c r="N158" s="119"/>
    </row>
    <row r="159" spans="1:14" outlineLevel="3">
      <c r="B159" s="9"/>
      <c r="C159" s="542"/>
      <c r="D159" s="543"/>
      <c r="E159" s="543"/>
      <c r="F159" s="544"/>
      <c r="G159" s="116"/>
      <c r="H159" s="117"/>
      <c r="I159" s="118"/>
      <c r="J159" s="119"/>
      <c r="K159" s="116"/>
      <c r="L159" s="117"/>
      <c r="M159" s="118"/>
      <c r="N159" s="119"/>
    </row>
    <row r="160" spans="1:14" outlineLevel="3">
      <c r="B160" s="9"/>
      <c r="C160" s="9"/>
      <c r="D160" s="9"/>
      <c r="E160" s="9"/>
      <c r="F160" s="9"/>
      <c r="G160" s="116"/>
      <c r="H160" s="117"/>
      <c r="I160" s="118"/>
      <c r="J160" s="119"/>
      <c r="K160" s="116"/>
      <c r="L160" s="117"/>
      <c r="M160" s="118"/>
      <c r="N160" s="119"/>
    </row>
    <row r="161" spans="1:14" outlineLevel="1">
      <c r="B161" s="9"/>
      <c r="C161" s="9"/>
      <c r="D161" s="9"/>
      <c r="E161" s="9"/>
      <c r="F161" s="9"/>
      <c r="G161" s="116"/>
      <c r="H161" s="117"/>
      <c r="I161" s="118"/>
      <c r="J161" s="119"/>
      <c r="K161" s="116"/>
      <c r="L161" s="117"/>
      <c r="M161" s="118"/>
      <c r="N161" s="119"/>
    </row>
    <row r="162" spans="1:14" outlineLevel="1">
      <c r="B162" s="8"/>
      <c r="C162" s="8"/>
      <c r="D162" s="8"/>
      <c r="E162" s="8"/>
      <c r="F162" s="8"/>
      <c r="G162" s="116"/>
      <c r="H162" s="117"/>
      <c r="I162" s="118"/>
      <c r="J162" s="119"/>
      <c r="K162" s="116"/>
      <c r="L162" s="117"/>
      <c r="M162" s="118"/>
      <c r="N162" s="119"/>
    </row>
    <row r="163" spans="1:14" outlineLevel="1">
      <c r="A163" s="8"/>
      <c r="B163" s="62" t="s">
        <v>1140</v>
      </c>
      <c r="C163" s="62" t="s">
        <v>120</v>
      </c>
      <c r="D163" s="62"/>
      <c r="E163" s="62"/>
      <c r="F163" s="8"/>
      <c r="G163" s="116"/>
      <c r="H163" s="117"/>
      <c r="I163" s="118"/>
      <c r="J163" s="119"/>
      <c r="K163" s="116"/>
      <c r="L163" s="117"/>
      <c r="M163" s="118"/>
      <c r="N163" s="119"/>
    </row>
    <row r="164" spans="1:14" outlineLevel="1">
      <c r="B164" s="62"/>
      <c r="C164" s="62"/>
      <c r="D164" s="36" t="s">
        <v>108</v>
      </c>
      <c r="E164" s="36" t="s">
        <v>109</v>
      </c>
      <c r="F164" s="36" t="s">
        <v>110</v>
      </c>
      <c r="G164" s="116"/>
      <c r="H164" s="117"/>
      <c r="I164" s="118"/>
      <c r="J164" s="119"/>
      <c r="K164" s="116"/>
      <c r="L164" s="117"/>
      <c r="M164" s="118"/>
      <c r="N164" s="119"/>
    </row>
    <row r="165" spans="1:14" outlineLevel="1">
      <c r="B165" s="62"/>
      <c r="C165" s="62"/>
      <c r="D165" s="37"/>
      <c r="E165" s="37"/>
      <c r="F165" s="38"/>
      <c r="G165" s="116"/>
      <c r="H165" s="117"/>
      <c r="I165" s="118"/>
      <c r="J165" s="119"/>
      <c r="K165" s="116"/>
      <c r="L165" s="117"/>
      <c r="M165" s="118"/>
      <c r="N165" s="119"/>
    </row>
    <row r="166" spans="1:14" outlineLevel="3">
      <c r="B166" s="8"/>
      <c r="C166" s="8"/>
      <c r="D166" s="8"/>
      <c r="E166" s="8"/>
      <c r="F166" s="8"/>
      <c r="G166" s="116"/>
      <c r="H166" s="117"/>
      <c r="I166" s="118"/>
      <c r="J166" s="119"/>
      <c r="K166" s="116"/>
      <c r="L166" s="117"/>
      <c r="M166" s="118"/>
      <c r="N166" s="119"/>
    </row>
    <row r="167" spans="1:14" outlineLevel="3">
      <c r="B167" s="62" t="s">
        <v>1141</v>
      </c>
      <c r="C167" s="62" t="s">
        <v>121</v>
      </c>
      <c r="D167" s="8"/>
      <c r="E167" s="8"/>
      <c r="F167" s="8"/>
      <c r="G167" s="116"/>
      <c r="H167" s="117"/>
      <c r="I167" s="118"/>
      <c r="J167" s="119"/>
      <c r="K167" s="116"/>
      <c r="L167" s="117"/>
      <c r="M167" s="118"/>
      <c r="N167" s="119"/>
    </row>
    <row r="168" spans="1:14" ht="15" outlineLevel="3" thickBot="1">
      <c r="B168" s="62"/>
      <c r="C168" s="62"/>
      <c r="D168" s="8"/>
      <c r="E168" s="8"/>
      <c r="F168" s="8"/>
      <c r="G168" s="116"/>
      <c r="H168" s="117"/>
      <c r="I168" s="118"/>
      <c r="J168" s="119"/>
      <c r="K168" s="116"/>
      <c r="L168" s="117"/>
      <c r="M168" s="118"/>
      <c r="N168" s="119"/>
    </row>
    <row r="169" spans="1:14" outlineLevel="3">
      <c r="B169" s="570" t="str">
        <f>IF('Datos ensayos LUM.'!D143=TRUE,"INTRODUCIR DATOS","")</f>
        <v>INTRODUCIR DATOS</v>
      </c>
      <c r="C169" s="571" t="s">
        <v>103</v>
      </c>
      <c r="D169" s="63"/>
      <c r="E169" s="63"/>
      <c r="F169" s="40" t="s">
        <v>122</v>
      </c>
      <c r="G169" s="194"/>
      <c r="H169" s="194"/>
      <c r="I169" s="194"/>
      <c r="J169" s="194"/>
      <c r="K169" s="194"/>
      <c r="L169" s="194"/>
      <c r="M169" s="194"/>
      <c r="N169" s="195"/>
    </row>
    <row r="170" spans="1:14" ht="15" outlineLevel="3" thickBot="1">
      <c r="B170" s="570"/>
      <c r="C170" s="573"/>
      <c r="D170" s="64"/>
      <c r="E170" s="64"/>
      <c r="F170" s="44" t="s">
        <v>123</v>
      </c>
      <c r="G170" s="200"/>
      <c r="H170" s="200"/>
      <c r="I170" s="200"/>
      <c r="J170" s="200"/>
      <c r="K170" s="200"/>
      <c r="L170" s="200"/>
      <c r="M170" s="200"/>
      <c r="N170" s="201"/>
    </row>
    <row r="171" spans="1:14" outlineLevel="3">
      <c r="B171" s="570"/>
      <c r="C171" s="571" t="s">
        <v>104</v>
      </c>
      <c r="D171" s="63"/>
      <c r="E171" s="63"/>
      <c r="F171" s="40" t="s">
        <v>122</v>
      </c>
      <c r="G171" s="194"/>
      <c r="H171" s="194"/>
      <c r="I171" s="194"/>
      <c r="J171" s="194"/>
      <c r="K171" s="194"/>
      <c r="L171" s="194"/>
      <c r="M171" s="194"/>
      <c r="N171" s="195"/>
    </row>
    <row r="172" spans="1:14" ht="15" outlineLevel="3" thickBot="1">
      <c r="B172" s="570"/>
      <c r="C172" s="573"/>
      <c r="D172" s="64"/>
      <c r="E172" s="64"/>
      <c r="F172" s="44" t="s">
        <v>123</v>
      </c>
      <c r="G172" s="200"/>
      <c r="H172" s="200"/>
      <c r="I172" s="200"/>
      <c r="J172" s="200"/>
      <c r="K172" s="200"/>
      <c r="L172" s="200"/>
      <c r="M172" s="200"/>
      <c r="N172" s="201"/>
    </row>
    <row r="173" spans="1:14" outlineLevel="3">
      <c r="B173" s="570"/>
      <c r="C173" s="571" t="s">
        <v>105</v>
      </c>
      <c r="D173" s="63"/>
      <c r="E173" s="63"/>
      <c r="F173" s="40" t="s">
        <v>122</v>
      </c>
      <c r="G173" s="194"/>
      <c r="H173" s="194"/>
      <c r="I173" s="194"/>
      <c r="J173" s="194"/>
      <c r="K173" s="194"/>
      <c r="L173" s="194"/>
      <c r="M173" s="194"/>
      <c r="N173" s="195"/>
    </row>
    <row r="174" spans="1:14" ht="15" outlineLevel="3" thickBot="1">
      <c r="B174" s="570"/>
      <c r="C174" s="573"/>
      <c r="D174" s="64"/>
      <c r="E174" s="64"/>
      <c r="F174" s="44" t="s">
        <v>123</v>
      </c>
      <c r="G174" s="200"/>
      <c r="H174" s="200"/>
      <c r="I174" s="200"/>
      <c r="J174" s="200"/>
      <c r="K174" s="200"/>
      <c r="L174" s="200"/>
      <c r="M174" s="200"/>
      <c r="N174" s="201"/>
    </row>
    <row r="175" spans="1:14" outlineLevel="3">
      <c r="B175" s="570"/>
      <c r="C175" s="571" t="s">
        <v>106</v>
      </c>
      <c r="D175" s="63"/>
      <c r="E175" s="63"/>
      <c r="F175" s="40" t="s">
        <v>122</v>
      </c>
      <c r="G175" s="194"/>
      <c r="H175" s="194"/>
      <c r="I175" s="194"/>
      <c r="J175" s="194"/>
      <c r="K175" s="194"/>
      <c r="L175" s="194"/>
      <c r="M175" s="194"/>
      <c r="N175" s="195"/>
    </row>
    <row r="176" spans="1:14" ht="15" outlineLevel="3" thickBot="1">
      <c r="B176" s="570"/>
      <c r="C176" s="573"/>
      <c r="D176" s="64"/>
      <c r="E176" s="64"/>
      <c r="F176" s="44" t="s">
        <v>123</v>
      </c>
      <c r="G176" s="200"/>
      <c r="H176" s="200"/>
      <c r="I176" s="200"/>
      <c r="J176" s="200"/>
      <c r="K176" s="200"/>
      <c r="L176" s="200"/>
      <c r="M176" s="200"/>
      <c r="N176" s="201"/>
    </row>
    <row r="177" spans="2:14" outlineLevel="3">
      <c r="B177" s="570"/>
      <c r="C177" s="571" t="s">
        <v>124</v>
      </c>
      <c r="D177" s="63"/>
      <c r="E177" s="63"/>
      <c r="F177" s="40" t="s">
        <v>122</v>
      </c>
      <c r="G177" s="194"/>
      <c r="H177" s="194"/>
      <c r="I177" s="194"/>
      <c r="J177" s="194"/>
      <c r="K177" s="194"/>
      <c r="L177" s="194"/>
      <c r="M177" s="194"/>
      <c r="N177" s="195"/>
    </row>
    <row r="178" spans="2:14" ht="15" outlineLevel="3" thickBot="1">
      <c r="B178" s="570"/>
      <c r="C178" s="573"/>
      <c r="D178" s="64"/>
      <c r="E178" s="64"/>
      <c r="F178" s="44" t="s">
        <v>123</v>
      </c>
      <c r="G178" s="200"/>
      <c r="H178" s="200"/>
      <c r="I178" s="200"/>
      <c r="J178" s="200"/>
      <c r="K178" s="200"/>
      <c r="L178" s="200"/>
      <c r="M178" s="200"/>
      <c r="N178" s="201"/>
    </row>
    <row r="179" spans="2:14" outlineLevel="3">
      <c r="B179" s="8"/>
      <c r="C179" s="566" t="s">
        <v>330</v>
      </c>
      <c r="D179" s="566"/>
      <c r="E179" s="566"/>
      <c r="F179" s="566"/>
      <c r="G179" s="116"/>
      <c r="H179" s="117"/>
      <c r="I179" s="118"/>
      <c r="J179" s="119"/>
      <c r="K179" s="116"/>
      <c r="L179" s="117"/>
      <c r="M179" s="118"/>
      <c r="N179" s="119"/>
    </row>
    <row r="180" spans="2:14" outlineLevel="3">
      <c r="B180" s="8"/>
      <c r="C180" s="567"/>
      <c r="D180" s="567"/>
      <c r="E180" s="567"/>
      <c r="F180" s="567"/>
      <c r="G180" s="116"/>
      <c r="H180" s="117"/>
      <c r="I180" s="118"/>
      <c r="J180" s="119"/>
      <c r="K180" s="116"/>
      <c r="L180" s="117"/>
      <c r="M180" s="118"/>
      <c r="N180" s="119"/>
    </row>
    <row r="181" spans="2:14" outlineLevel="3">
      <c r="B181" s="8"/>
      <c r="C181" s="8"/>
      <c r="D181" s="8"/>
      <c r="E181" s="8"/>
      <c r="F181" s="8"/>
      <c r="G181" s="116"/>
      <c r="H181" s="117"/>
      <c r="I181" s="118"/>
      <c r="J181" s="119"/>
      <c r="K181" s="116"/>
      <c r="L181" s="117"/>
      <c r="M181" s="118"/>
      <c r="N181" s="119"/>
    </row>
    <row r="182" spans="2:14" outlineLevel="3">
      <c r="B182" s="8"/>
      <c r="C182" s="536" t="s">
        <v>98</v>
      </c>
      <c r="D182" s="537"/>
      <c r="E182" s="537"/>
      <c r="F182" s="538"/>
      <c r="G182" s="116"/>
      <c r="H182" s="117"/>
      <c r="I182" s="118"/>
      <c r="J182" s="119"/>
      <c r="K182" s="116"/>
      <c r="L182" s="117"/>
      <c r="M182" s="118"/>
      <c r="N182" s="119"/>
    </row>
    <row r="183" spans="2:14" outlineLevel="3">
      <c r="B183" s="8"/>
      <c r="C183" s="539"/>
      <c r="D183" s="540"/>
      <c r="E183" s="540"/>
      <c r="F183" s="541"/>
      <c r="G183" s="116"/>
      <c r="H183" s="117"/>
      <c r="I183" s="118"/>
      <c r="J183" s="119"/>
      <c r="K183" s="116"/>
      <c r="L183" s="117"/>
      <c r="M183" s="118"/>
      <c r="N183" s="119"/>
    </row>
    <row r="184" spans="2:14" outlineLevel="3">
      <c r="B184" s="8"/>
      <c r="C184" s="539"/>
      <c r="D184" s="540"/>
      <c r="E184" s="540"/>
      <c r="F184" s="541"/>
      <c r="G184" s="116"/>
      <c r="H184" s="117"/>
      <c r="I184" s="118"/>
      <c r="J184" s="119"/>
      <c r="K184" s="116"/>
      <c r="L184" s="117"/>
      <c r="M184" s="118"/>
      <c r="N184" s="119"/>
    </row>
    <row r="185" spans="2:14" outlineLevel="3">
      <c r="B185" s="8"/>
      <c r="C185" s="542"/>
      <c r="D185" s="543"/>
      <c r="E185" s="543"/>
      <c r="F185" s="544"/>
      <c r="G185" s="116"/>
      <c r="H185" s="117"/>
      <c r="I185" s="118"/>
      <c r="J185" s="119"/>
      <c r="K185" s="116"/>
      <c r="L185" s="117"/>
      <c r="M185" s="118"/>
      <c r="N185" s="119"/>
    </row>
    <row r="186" spans="2:14" outlineLevel="3">
      <c r="B186" s="8"/>
      <c r="C186" s="8"/>
      <c r="D186" s="8"/>
      <c r="E186" s="8"/>
      <c r="F186" s="8"/>
      <c r="G186" s="116"/>
      <c r="H186" s="117"/>
      <c r="I186" s="118"/>
      <c r="J186" s="119"/>
      <c r="K186" s="116"/>
      <c r="L186" s="117"/>
      <c r="M186" s="118"/>
      <c r="N186" s="119"/>
    </row>
    <row r="187" spans="2:14" outlineLevel="3">
      <c r="B187" s="8"/>
      <c r="C187" s="8"/>
      <c r="D187" s="8"/>
      <c r="E187" s="8"/>
      <c r="F187" s="8"/>
      <c r="G187" s="116"/>
      <c r="H187" s="117"/>
      <c r="I187" s="118"/>
      <c r="J187" s="119"/>
      <c r="K187" s="116"/>
      <c r="L187" s="117"/>
      <c r="M187" s="118"/>
      <c r="N187" s="119"/>
    </row>
    <row r="188" spans="2:14" outlineLevel="3">
      <c r="B188" s="62" t="s">
        <v>1142</v>
      </c>
      <c r="C188" s="62" t="s">
        <v>125</v>
      </c>
      <c r="D188" s="8"/>
      <c r="E188" s="8"/>
      <c r="F188" s="8"/>
      <c r="G188" s="116"/>
      <c r="H188" s="117"/>
      <c r="I188" s="118"/>
      <c r="J188" s="119"/>
      <c r="K188" s="116"/>
      <c r="L188" s="117"/>
      <c r="M188" s="118"/>
      <c r="N188" s="119"/>
    </row>
    <row r="189" spans="2:14" ht="15" outlineLevel="3" thickBot="1">
      <c r="B189" s="62"/>
      <c r="C189" s="62"/>
      <c r="D189" s="8"/>
      <c r="E189" s="8"/>
      <c r="F189" s="8"/>
      <c r="G189" s="116"/>
      <c r="H189" s="117"/>
      <c r="I189" s="118"/>
      <c r="J189" s="119"/>
      <c r="K189" s="116"/>
      <c r="L189" s="117"/>
      <c r="M189" s="118"/>
      <c r="N189" s="119"/>
    </row>
    <row r="190" spans="2:14" outlineLevel="3">
      <c r="B190" s="570" t="str">
        <f>IF('Datos ensayos LUM.'!D149=TRUE,"INTRODUCIR DATOS","")</f>
        <v>INTRODUCIR DATOS</v>
      </c>
      <c r="C190" s="571" t="s">
        <v>126</v>
      </c>
      <c r="D190" s="572"/>
      <c r="E190" s="63"/>
      <c r="F190" s="40" t="s">
        <v>122</v>
      </c>
      <c r="G190" s="194"/>
      <c r="H190" s="194"/>
      <c r="I190" s="194"/>
      <c r="J190" s="194"/>
      <c r="K190" s="194"/>
      <c r="L190" s="194"/>
      <c r="M190" s="194"/>
      <c r="N190" s="195"/>
    </row>
    <row r="191" spans="2:14" ht="15" outlineLevel="3" thickBot="1">
      <c r="B191" s="570"/>
      <c r="C191" s="573"/>
      <c r="D191" s="574"/>
      <c r="E191" s="64"/>
      <c r="F191" s="44" t="s">
        <v>127</v>
      </c>
      <c r="G191" s="200"/>
      <c r="H191" s="200"/>
      <c r="I191" s="200"/>
      <c r="J191" s="200"/>
      <c r="K191" s="200"/>
      <c r="L191" s="200"/>
      <c r="M191" s="200"/>
      <c r="N191" s="201"/>
    </row>
    <row r="192" spans="2:14" outlineLevel="3">
      <c r="B192" s="570"/>
      <c r="C192" s="571" t="s">
        <v>128</v>
      </c>
      <c r="D192" s="572"/>
      <c r="E192" s="63"/>
      <c r="F192" s="40" t="s">
        <v>122</v>
      </c>
      <c r="G192" s="194"/>
      <c r="H192" s="194"/>
      <c r="I192" s="194"/>
      <c r="J192" s="194"/>
      <c r="K192" s="194"/>
      <c r="L192" s="194"/>
      <c r="M192" s="194"/>
      <c r="N192" s="195"/>
    </row>
    <row r="193" spans="2:14" ht="15" outlineLevel="3" thickBot="1">
      <c r="B193" s="570"/>
      <c r="C193" s="573"/>
      <c r="D193" s="574"/>
      <c r="E193" s="64"/>
      <c r="F193" s="44" t="s">
        <v>127</v>
      </c>
      <c r="G193" s="200"/>
      <c r="H193" s="200"/>
      <c r="I193" s="200"/>
      <c r="J193" s="200"/>
      <c r="K193" s="200"/>
      <c r="L193" s="200"/>
      <c r="M193" s="200"/>
      <c r="N193" s="201"/>
    </row>
    <row r="194" spans="2:14" outlineLevel="3">
      <c r="B194" s="570"/>
      <c r="C194" s="571" t="s">
        <v>129</v>
      </c>
      <c r="D194" s="572"/>
      <c r="E194" s="63"/>
      <c r="F194" s="40" t="s">
        <v>122</v>
      </c>
      <c r="G194" s="194"/>
      <c r="H194" s="194"/>
      <c r="I194" s="194"/>
      <c r="J194" s="194"/>
      <c r="K194" s="194"/>
      <c r="L194" s="194"/>
      <c r="M194" s="194"/>
      <c r="N194" s="195"/>
    </row>
    <row r="195" spans="2:14" ht="15" outlineLevel="3" thickBot="1">
      <c r="B195" s="570"/>
      <c r="C195" s="573"/>
      <c r="D195" s="574"/>
      <c r="E195" s="64"/>
      <c r="F195" s="44" t="s">
        <v>127</v>
      </c>
      <c r="G195" s="200"/>
      <c r="H195" s="200"/>
      <c r="I195" s="200"/>
      <c r="J195" s="200"/>
      <c r="K195" s="200"/>
      <c r="L195" s="200"/>
      <c r="M195" s="200"/>
      <c r="N195" s="201"/>
    </row>
    <row r="196" spans="2:14" outlineLevel="3">
      <c r="B196" s="8"/>
      <c r="C196" s="566" t="s">
        <v>330</v>
      </c>
      <c r="D196" s="566"/>
      <c r="E196" s="566"/>
      <c r="F196" s="566"/>
      <c r="G196" s="116"/>
      <c r="H196" s="117"/>
      <c r="I196" s="118"/>
      <c r="J196" s="119"/>
      <c r="K196" s="116"/>
      <c r="L196" s="117"/>
      <c r="M196" s="118"/>
      <c r="N196" s="119"/>
    </row>
    <row r="197" spans="2:14" outlineLevel="3">
      <c r="B197" s="8"/>
      <c r="C197" s="567"/>
      <c r="D197" s="567"/>
      <c r="E197" s="567"/>
      <c r="F197" s="567"/>
      <c r="G197" s="116"/>
      <c r="H197" s="117"/>
      <c r="I197" s="118"/>
      <c r="J197" s="119"/>
      <c r="K197" s="116"/>
      <c r="L197" s="117"/>
      <c r="M197" s="118"/>
      <c r="N197" s="119"/>
    </row>
    <row r="198" spans="2:14" outlineLevel="3">
      <c r="B198" s="8"/>
      <c r="C198" s="8"/>
      <c r="D198" s="8"/>
      <c r="E198" s="8"/>
      <c r="F198" s="8"/>
      <c r="G198" s="116"/>
      <c r="H198" s="117"/>
      <c r="I198" s="118"/>
      <c r="J198" s="119"/>
      <c r="K198" s="116"/>
      <c r="L198" s="117"/>
      <c r="M198" s="118"/>
      <c r="N198" s="119"/>
    </row>
    <row r="199" spans="2:14" outlineLevel="3">
      <c r="B199" s="8"/>
      <c r="C199" s="536" t="s">
        <v>98</v>
      </c>
      <c r="D199" s="537"/>
      <c r="E199" s="537"/>
      <c r="F199" s="538"/>
      <c r="G199" s="116"/>
      <c r="H199" s="117"/>
      <c r="I199" s="118"/>
      <c r="J199" s="119"/>
      <c r="K199" s="116"/>
      <c r="L199" s="117"/>
      <c r="M199" s="118"/>
      <c r="N199" s="119"/>
    </row>
    <row r="200" spans="2:14" outlineLevel="3">
      <c r="B200" s="8"/>
      <c r="C200" s="539"/>
      <c r="D200" s="540"/>
      <c r="E200" s="540"/>
      <c r="F200" s="541"/>
      <c r="G200" s="116"/>
      <c r="H200" s="117"/>
      <c r="I200" s="118"/>
      <c r="J200" s="119"/>
      <c r="K200" s="116"/>
      <c r="L200" s="117"/>
      <c r="M200" s="118"/>
      <c r="N200" s="119"/>
    </row>
    <row r="201" spans="2:14" outlineLevel="3">
      <c r="B201" s="8"/>
      <c r="C201" s="539"/>
      <c r="D201" s="540"/>
      <c r="E201" s="540"/>
      <c r="F201" s="541"/>
      <c r="G201" s="116"/>
      <c r="H201" s="117"/>
      <c r="I201" s="118"/>
      <c r="J201" s="119"/>
      <c r="K201" s="116"/>
      <c r="L201" s="117"/>
      <c r="M201" s="118"/>
      <c r="N201" s="119"/>
    </row>
    <row r="202" spans="2:14" outlineLevel="3">
      <c r="B202" s="8"/>
      <c r="C202" s="542"/>
      <c r="D202" s="543"/>
      <c r="E202" s="543"/>
      <c r="F202" s="544"/>
      <c r="G202" s="116"/>
      <c r="H202" s="117"/>
      <c r="I202" s="118"/>
      <c r="J202" s="119"/>
      <c r="K202" s="116"/>
      <c r="L202" s="117"/>
      <c r="M202" s="118"/>
      <c r="N202" s="119"/>
    </row>
    <row r="203" spans="2:14" outlineLevel="3">
      <c r="B203" s="8"/>
      <c r="C203" s="8"/>
      <c r="D203" s="8"/>
      <c r="E203" s="8"/>
      <c r="F203" s="8"/>
      <c r="G203" s="116"/>
      <c r="H203" s="117"/>
      <c r="I203" s="118"/>
      <c r="J203" s="119"/>
      <c r="K203" s="116"/>
      <c r="L203" s="117"/>
      <c r="M203" s="118"/>
      <c r="N203" s="119"/>
    </row>
    <row r="204" spans="2:14" outlineLevel="3">
      <c r="B204" s="8"/>
      <c r="C204" s="8"/>
      <c r="D204" s="8"/>
      <c r="E204" s="8"/>
      <c r="F204" s="8"/>
      <c r="G204" s="116"/>
      <c r="H204" s="117"/>
      <c r="I204" s="118"/>
      <c r="J204" s="119"/>
      <c r="K204" s="116"/>
      <c r="L204" s="117"/>
      <c r="M204" s="118"/>
      <c r="N204" s="119"/>
    </row>
    <row r="205" spans="2:14" outlineLevel="3">
      <c r="B205" s="8"/>
      <c r="C205" s="62" t="s">
        <v>99</v>
      </c>
      <c r="D205" s="8"/>
      <c r="E205" s="8"/>
      <c r="F205" s="8"/>
      <c r="G205" s="116"/>
      <c r="H205" s="117"/>
      <c r="I205" s="118"/>
      <c r="J205" s="119"/>
      <c r="K205" s="116"/>
      <c r="L205" s="117"/>
      <c r="M205" s="118"/>
      <c r="N205" s="119"/>
    </row>
    <row r="206" spans="2:14" outlineLevel="3">
      <c r="B206" s="569" t="str">
        <f>IF('Datos ensayos LUM.'!L139,"MARCAR  UNA OPCIÓN","")</f>
        <v>MARCAR  UNA OPCIÓN</v>
      </c>
      <c r="C206" s="62"/>
      <c r="D206" s="8"/>
      <c r="E206" s="8"/>
      <c r="F206" s="8"/>
      <c r="G206" s="116"/>
      <c r="H206" s="117"/>
      <c r="I206" s="118"/>
      <c r="J206" s="119"/>
      <c r="K206" s="116"/>
      <c r="L206" s="117"/>
      <c r="M206" s="118"/>
      <c r="N206" s="119"/>
    </row>
    <row r="207" spans="2:14" outlineLevel="3">
      <c r="B207" s="569"/>
      <c r="C207" s="8"/>
      <c r="D207" s="8"/>
      <c r="E207" s="8"/>
      <c r="F207" s="8"/>
      <c r="G207" s="116"/>
      <c r="H207" s="117"/>
      <c r="I207" s="118"/>
      <c r="J207" s="119"/>
      <c r="K207" s="116"/>
      <c r="L207" s="117"/>
      <c r="M207" s="118"/>
      <c r="N207" s="119"/>
    </row>
    <row r="208" spans="2:14" outlineLevel="3">
      <c r="B208" s="569"/>
      <c r="C208" s="8"/>
      <c r="D208" s="8"/>
      <c r="E208" s="8"/>
      <c r="F208" s="8"/>
      <c r="G208" s="116"/>
      <c r="H208" s="117"/>
      <c r="I208" s="118"/>
      <c r="J208" s="119"/>
      <c r="K208" s="116"/>
      <c r="L208" s="117"/>
      <c r="M208" s="118"/>
      <c r="N208" s="119"/>
    </row>
    <row r="209" spans="2:14" outlineLevel="3">
      <c r="B209" s="569"/>
      <c r="C209" s="8"/>
      <c r="D209" s="8"/>
      <c r="E209" s="8"/>
      <c r="F209" s="8"/>
      <c r="G209" s="116"/>
      <c r="H209" s="117"/>
      <c r="I209" s="118"/>
      <c r="J209" s="119"/>
      <c r="K209" s="116"/>
      <c r="L209" s="117"/>
      <c r="M209" s="118"/>
      <c r="N209" s="119"/>
    </row>
    <row r="210" spans="2:14" outlineLevel="3">
      <c r="B210" s="569"/>
      <c r="C210" s="8"/>
      <c r="D210" s="8"/>
      <c r="E210" s="8"/>
      <c r="F210" s="8"/>
      <c r="G210" s="116"/>
      <c r="H210" s="117"/>
      <c r="I210" s="118"/>
      <c r="J210" s="119"/>
      <c r="K210" s="116"/>
      <c r="L210" s="117"/>
      <c r="M210" s="118"/>
      <c r="N210" s="119"/>
    </row>
    <row r="211" spans="2:14" outlineLevel="3">
      <c r="B211" s="8"/>
      <c r="C211" s="8"/>
      <c r="D211" s="8"/>
      <c r="E211" s="8"/>
      <c r="F211" s="8"/>
      <c r="G211" s="116"/>
      <c r="H211" s="117"/>
      <c r="I211" s="118"/>
      <c r="J211" s="119"/>
      <c r="K211" s="116"/>
      <c r="L211" s="117"/>
      <c r="M211" s="118"/>
      <c r="N211" s="119"/>
    </row>
    <row r="212" spans="2:14" outlineLevel="3">
      <c r="B212" s="8"/>
      <c r="C212" s="536" t="s">
        <v>98</v>
      </c>
      <c r="D212" s="537"/>
      <c r="E212" s="537"/>
      <c r="F212" s="538"/>
      <c r="G212" s="116"/>
      <c r="H212" s="117"/>
      <c r="I212" s="118"/>
      <c r="J212" s="119"/>
      <c r="K212" s="116"/>
      <c r="L212" s="117"/>
      <c r="M212" s="118"/>
      <c r="N212" s="119"/>
    </row>
    <row r="213" spans="2:14" outlineLevel="3">
      <c r="B213" s="8"/>
      <c r="C213" s="539"/>
      <c r="D213" s="540"/>
      <c r="E213" s="540"/>
      <c r="F213" s="541"/>
      <c r="G213" s="116"/>
      <c r="H213" s="117"/>
      <c r="I213" s="118"/>
      <c r="J213" s="119"/>
      <c r="K213" s="116"/>
      <c r="L213" s="117"/>
      <c r="M213" s="118"/>
      <c r="N213" s="119"/>
    </row>
    <row r="214" spans="2:14" outlineLevel="3">
      <c r="B214" s="8"/>
      <c r="C214" s="539"/>
      <c r="D214" s="540"/>
      <c r="E214" s="540"/>
      <c r="F214" s="541"/>
      <c r="G214" s="116"/>
      <c r="H214" s="117"/>
      <c r="I214" s="118"/>
      <c r="J214" s="119"/>
      <c r="K214" s="116"/>
      <c r="L214" s="117"/>
      <c r="M214" s="118"/>
      <c r="N214" s="119"/>
    </row>
    <row r="215" spans="2:14" outlineLevel="3">
      <c r="B215" s="8"/>
      <c r="C215" s="542"/>
      <c r="D215" s="543"/>
      <c r="E215" s="543"/>
      <c r="F215" s="544"/>
      <c r="G215" s="116"/>
      <c r="H215" s="117"/>
      <c r="I215" s="118"/>
      <c r="J215" s="119"/>
      <c r="K215" s="116"/>
      <c r="L215" s="117"/>
      <c r="M215" s="118"/>
      <c r="N215" s="119"/>
    </row>
    <row r="216" spans="2:14" outlineLevel="3">
      <c r="B216" s="8"/>
      <c r="C216" s="8"/>
      <c r="D216" s="8"/>
      <c r="E216" s="8"/>
      <c r="F216" s="8"/>
      <c r="G216" s="116"/>
      <c r="H216" s="117"/>
      <c r="I216" s="118"/>
      <c r="J216" s="119"/>
      <c r="K216" s="116"/>
      <c r="L216" s="117"/>
      <c r="M216" s="118"/>
      <c r="N216" s="119"/>
    </row>
    <row r="217" spans="2:14" outlineLevel="3">
      <c r="B217" s="8"/>
      <c r="C217" s="8"/>
      <c r="D217" s="8"/>
      <c r="E217" s="8"/>
      <c r="F217" s="8"/>
      <c r="G217" s="116"/>
      <c r="H217" s="117"/>
      <c r="I217" s="118"/>
      <c r="J217" s="119"/>
      <c r="K217" s="116"/>
      <c r="L217" s="117"/>
      <c r="M217" s="118"/>
      <c r="N217" s="119"/>
    </row>
    <row r="218" spans="2:14" outlineLevel="3">
      <c r="B218" s="62" t="s">
        <v>1145</v>
      </c>
      <c r="C218" s="62" t="s">
        <v>315</v>
      </c>
      <c r="D218" s="8"/>
      <c r="E218" s="8"/>
      <c r="F218" s="8"/>
      <c r="G218" s="116"/>
      <c r="H218" s="117"/>
      <c r="I218" s="118"/>
      <c r="J218" s="119"/>
      <c r="K218" s="116"/>
      <c r="L218" s="117"/>
      <c r="M218" s="118"/>
      <c r="N218" s="119"/>
    </row>
    <row r="219" spans="2:14" ht="15" outlineLevel="3" thickBot="1">
      <c r="B219" s="568" t="str">
        <f>IF('Datos ensayos LUM.'!L147=FALSE,"SELECCIONA OPCIONES","")</f>
        <v>SELECCIONA OPCIONES</v>
      </c>
      <c r="C219" s="62"/>
      <c r="D219" s="8"/>
      <c r="E219" s="8"/>
      <c r="F219" s="8"/>
      <c r="G219" s="116"/>
      <c r="H219" s="117"/>
      <c r="I219" s="118"/>
      <c r="J219" s="119"/>
      <c r="K219" s="116"/>
      <c r="L219" s="117"/>
      <c r="M219" s="118"/>
      <c r="N219" s="119"/>
    </row>
    <row r="220" spans="2:14" ht="15" customHeight="1" outlineLevel="3">
      <c r="B220" s="568"/>
      <c r="C220" s="65" t="s">
        <v>130</v>
      </c>
      <c r="D220" s="40"/>
      <c r="E220" s="40"/>
      <c r="F220" s="40" t="s">
        <v>123</v>
      </c>
      <c r="G220" s="194"/>
      <c r="H220" s="194"/>
      <c r="I220" s="194"/>
      <c r="J220" s="194"/>
      <c r="K220" s="194"/>
      <c r="L220" s="194"/>
      <c r="M220" s="194"/>
      <c r="N220" s="195"/>
    </row>
    <row r="221" spans="2:14" outlineLevel="3">
      <c r="B221" s="568"/>
      <c r="C221" s="66" t="s">
        <v>131</v>
      </c>
      <c r="D221" s="42"/>
      <c r="E221" s="42"/>
      <c r="F221" s="42" t="s">
        <v>123</v>
      </c>
      <c r="G221" s="197"/>
      <c r="H221" s="197"/>
      <c r="I221" s="197"/>
      <c r="J221" s="197"/>
      <c r="K221" s="197"/>
      <c r="L221" s="197"/>
      <c r="M221" s="197"/>
      <c r="N221" s="198"/>
    </row>
    <row r="222" spans="2:14" ht="15" outlineLevel="3" thickBot="1">
      <c r="B222" s="568"/>
      <c r="C222" s="67" t="s">
        <v>132</v>
      </c>
      <c r="D222" s="44"/>
      <c r="E222" s="44"/>
      <c r="F222" s="44" t="s">
        <v>123</v>
      </c>
      <c r="G222" s="200"/>
      <c r="H222" s="200"/>
      <c r="I222" s="200"/>
      <c r="J222" s="200"/>
      <c r="K222" s="200"/>
      <c r="L222" s="200"/>
      <c r="M222" s="200"/>
      <c r="N222" s="201"/>
    </row>
    <row r="223" spans="2:14" outlineLevel="3">
      <c r="B223" s="173"/>
      <c r="C223" s="566" t="s">
        <v>330</v>
      </c>
      <c r="D223" s="566"/>
      <c r="E223" s="566"/>
      <c r="F223" s="566"/>
      <c r="G223" s="116"/>
      <c r="H223" s="117"/>
      <c r="I223" s="118"/>
      <c r="J223" s="119"/>
      <c r="K223" s="116"/>
      <c r="L223" s="117"/>
      <c r="M223" s="118"/>
      <c r="N223" s="119"/>
    </row>
    <row r="224" spans="2:14" outlineLevel="3">
      <c r="B224" s="173"/>
      <c r="C224" s="567"/>
      <c r="D224" s="567"/>
      <c r="E224" s="567"/>
      <c r="F224" s="567"/>
      <c r="G224" s="116"/>
      <c r="H224" s="117"/>
      <c r="I224" s="118"/>
      <c r="J224" s="119"/>
      <c r="K224" s="116"/>
      <c r="L224" s="117"/>
      <c r="M224" s="118"/>
      <c r="N224" s="119"/>
    </row>
    <row r="225" spans="1:14" outlineLevel="3">
      <c r="B225" s="173"/>
      <c r="C225" s="8"/>
      <c r="D225" s="8"/>
      <c r="E225" s="8"/>
      <c r="F225" s="8"/>
      <c r="G225" s="116"/>
      <c r="H225" s="117"/>
      <c r="I225" s="118"/>
      <c r="J225" s="119"/>
      <c r="K225" s="116"/>
      <c r="L225" s="117"/>
      <c r="M225" s="118"/>
      <c r="N225" s="119"/>
    </row>
    <row r="226" spans="1:14" outlineLevel="3">
      <c r="B226" s="8"/>
      <c r="C226" s="536" t="s">
        <v>98</v>
      </c>
      <c r="D226" s="537"/>
      <c r="E226" s="537"/>
      <c r="F226" s="538"/>
      <c r="G226" s="116"/>
      <c r="H226" s="117"/>
      <c r="I226" s="118"/>
      <c r="J226" s="119"/>
      <c r="K226" s="116"/>
      <c r="L226" s="117"/>
      <c r="M226" s="118"/>
      <c r="N226" s="119"/>
    </row>
    <row r="227" spans="1:14" outlineLevel="3">
      <c r="B227" s="8"/>
      <c r="C227" s="539"/>
      <c r="D227" s="540"/>
      <c r="E227" s="540"/>
      <c r="F227" s="541"/>
      <c r="G227" s="116"/>
      <c r="H227" s="117"/>
      <c r="I227" s="118"/>
      <c r="J227" s="119"/>
      <c r="K227" s="116"/>
      <c r="L227" s="117"/>
      <c r="M227" s="118"/>
      <c r="N227" s="119"/>
    </row>
    <row r="228" spans="1:14" outlineLevel="3">
      <c r="B228" s="8"/>
      <c r="C228" s="539"/>
      <c r="D228" s="540"/>
      <c r="E228" s="540"/>
      <c r="F228" s="541"/>
      <c r="G228" s="116"/>
      <c r="H228" s="117"/>
      <c r="I228" s="118"/>
      <c r="J228" s="119"/>
      <c r="K228" s="116"/>
      <c r="L228" s="117"/>
      <c r="M228" s="118"/>
      <c r="N228" s="119"/>
    </row>
    <row r="229" spans="1:14" outlineLevel="3">
      <c r="B229" s="8"/>
      <c r="C229" s="542"/>
      <c r="D229" s="543"/>
      <c r="E229" s="543"/>
      <c r="F229" s="544"/>
      <c r="G229" s="116"/>
      <c r="H229" s="117"/>
      <c r="I229" s="118"/>
      <c r="J229" s="119"/>
      <c r="K229" s="116"/>
      <c r="L229" s="117"/>
      <c r="M229" s="118"/>
      <c r="N229" s="119"/>
    </row>
    <row r="230" spans="1:14" outlineLevel="3">
      <c r="B230" s="8"/>
      <c r="C230" s="8"/>
      <c r="D230" s="8"/>
      <c r="E230" s="8"/>
      <c r="F230" s="8"/>
      <c r="G230" s="116"/>
      <c r="H230" s="117"/>
      <c r="I230" s="118"/>
      <c r="J230" s="119"/>
      <c r="K230" s="116"/>
      <c r="L230" s="117"/>
      <c r="M230" s="118"/>
      <c r="N230" s="119"/>
    </row>
    <row r="231" spans="1:14" outlineLevel="1">
      <c r="B231" s="8"/>
      <c r="C231" s="8"/>
      <c r="D231" s="8"/>
      <c r="E231" s="8"/>
      <c r="F231" s="8"/>
      <c r="G231" s="116"/>
      <c r="H231" s="117"/>
      <c r="I231" s="118"/>
      <c r="J231" s="119"/>
      <c r="K231" s="116"/>
      <c r="L231" s="117"/>
      <c r="M231" s="118"/>
      <c r="N231" s="119"/>
    </row>
    <row r="232" spans="1:14" outlineLevel="1">
      <c r="B232" s="19"/>
      <c r="C232" s="19"/>
      <c r="D232" s="19"/>
      <c r="E232" s="19"/>
      <c r="F232" s="19"/>
      <c r="G232" s="116"/>
      <c r="H232" s="117"/>
      <c r="I232" s="118"/>
      <c r="J232" s="119"/>
      <c r="K232" s="116"/>
      <c r="L232" s="117"/>
      <c r="M232" s="118"/>
      <c r="N232" s="119"/>
    </row>
    <row r="233" spans="1:14" outlineLevel="1">
      <c r="A233" s="19"/>
      <c r="B233" s="54" t="s">
        <v>1146</v>
      </c>
      <c r="C233" s="54" t="s">
        <v>133</v>
      </c>
      <c r="D233" s="36" t="s">
        <v>108</v>
      </c>
      <c r="E233" s="36" t="s">
        <v>109</v>
      </c>
      <c r="F233" s="36" t="s">
        <v>110</v>
      </c>
      <c r="G233" s="116"/>
      <c r="H233" s="117"/>
      <c r="I233" s="118"/>
      <c r="J233" s="119"/>
      <c r="K233" s="116"/>
      <c r="L233" s="117"/>
      <c r="M233" s="118"/>
      <c r="N233" s="119"/>
    </row>
    <row r="234" spans="1:14" outlineLevel="1">
      <c r="B234" s="54"/>
      <c r="C234" s="54"/>
      <c r="D234" s="37"/>
      <c r="E234" s="37"/>
      <c r="F234" s="38"/>
      <c r="G234" s="116"/>
      <c r="H234" s="117"/>
      <c r="I234" s="118"/>
      <c r="J234" s="119"/>
      <c r="K234" s="116"/>
      <c r="L234" s="117"/>
      <c r="M234" s="118"/>
      <c r="N234" s="119"/>
    </row>
    <row r="235" spans="1:14" outlineLevel="2">
      <c r="B235" s="54"/>
      <c r="C235" s="54"/>
      <c r="D235" s="19"/>
      <c r="E235" s="19"/>
      <c r="F235" s="19"/>
      <c r="G235" s="116"/>
      <c r="H235" s="117"/>
      <c r="I235" s="118"/>
      <c r="J235" s="119"/>
      <c r="K235" s="116"/>
      <c r="L235" s="117"/>
      <c r="M235" s="118"/>
      <c r="N235" s="119"/>
    </row>
    <row r="236" spans="1:14" outlineLevel="2">
      <c r="B236" s="19"/>
      <c r="C236" s="68" t="s">
        <v>134</v>
      </c>
      <c r="D236" s="19"/>
      <c r="E236" s="19"/>
      <c r="F236" s="19"/>
      <c r="G236" s="116"/>
      <c r="H236" s="117"/>
      <c r="I236" s="118"/>
      <c r="J236" s="119"/>
      <c r="K236" s="116"/>
      <c r="L236" s="117"/>
      <c r="M236" s="118"/>
      <c r="N236" s="119"/>
    </row>
    <row r="237" spans="1:14" ht="15" outlineLevel="2" thickBot="1">
      <c r="B237" s="19"/>
      <c r="C237" s="68" t="s">
        <v>135</v>
      </c>
      <c r="D237" s="19"/>
      <c r="E237" s="19"/>
      <c r="F237" s="19"/>
      <c r="G237" s="116"/>
      <c r="H237" s="117"/>
      <c r="I237" s="118"/>
      <c r="J237" s="119"/>
      <c r="K237" s="116"/>
      <c r="L237" s="117"/>
      <c r="M237" s="118"/>
      <c r="N237" s="119"/>
    </row>
    <row r="238" spans="1:14" outlineLevel="2">
      <c r="B238" s="19"/>
      <c r="C238" s="741" t="s">
        <v>111</v>
      </c>
      <c r="D238" s="741"/>
      <c r="E238" s="69" t="s">
        <v>136</v>
      </c>
      <c r="F238" s="39"/>
      <c r="G238" s="94"/>
      <c r="H238" s="95"/>
      <c r="I238" s="96"/>
      <c r="J238" s="97"/>
      <c r="K238" s="98"/>
      <c r="L238" s="95"/>
      <c r="M238" s="96"/>
      <c r="N238" s="99"/>
    </row>
    <row r="239" spans="1:14" outlineLevel="2">
      <c r="B239" s="19"/>
      <c r="C239" s="741"/>
      <c r="D239" s="741"/>
      <c r="E239" s="70" t="s">
        <v>137</v>
      </c>
      <c r="F239" s="41"/>
      <c r="G239" s="100"/>
      <c r="H239" s="101"/>
      <c r="I239" s="102"/>
      <c r="J239" s="103"/>
      <c r="K239" s="104"/>
      <c r="L239" s="101"/>
      <c r="M239" s="102"/>
      <c r="N239" s="105"/>
    </row>
    <row r="240" spans="1:14" outlineLevel="2">
      <c r="B240" s="19"/>
      <c r="C240" s="741"/>
      <c r="D240" s="741"/>
      <c r="E240" s="70" t="s">
        <v>138</v>
      </c>
      <c r="F240" s="41"/>
      <c r="G240" s="100"/>
      <c r="H240" s="101"/>
      <c r="I240" s="102"/>
      <c r="J240" s="103"/>
      <c r="K240" s="104"/>
      <c r="L240" s="101"/>
      <c r="M240" s="102"/>
      <c r="N240" s="105"/>
    </row>
    <row r="241" spans="1:14" outlineLevel="2">
      <c r="B241" s="19"/>
      <c r="C241" s="741"/>
      <c r="D241" s="741"/>
      <c r="E241" s="70" t="s">
        <v>139</v>
      </c>
      <c r="F241" s="41"/>
      <c r="G241" s="100"/>
      <c r="H241" s="101"/>
      <c r="I241" s="102"/>
      <c r="J241" s="103"/>
      <c r="K241" s="104"/>
      <c r="L241" s="101"/>
      <c r="M241" s="102"/>
      <c r="N241" s="105"/>
    </row>
    <row r="242" spans="1:14" outlineLevel="2">
      <c r="B242" s="19"/>
      <c r="C242" s="741"/>
      <c r="D242" s="741"/>
      <c r="E242" s="70" t="s">
        <v>140</v>
      </c>
      <c r="F242" s="41"/>
      <c r="G242" s="100"/>
      <c r="H242" s="101"/>
      <c r="I242" s="102"/>
      <c r="J242" s="103"/>
      <c r="K242" s="104"/>
      <c r="L242" s="101"/>
      <c r="M242" s="102"/>
      <c r="N242" s="105"/>
    </row>
    <row r="243" spans="1:14" ht="15" outlineLevel="2" thickBot="1">
      <c r="B243" s="19"/>
      <c r="C243" s="741"/>
      <c r="D243" s="741"/>
      <c r="E243" s="71" t="s">
        <v>141</v>
      </c>
      <c r="F243" s="43"/>
      <c r="G243" s="106"/>
      <c r="H243" s="107"/>
      <c r="I243" s="108"/>
      <c r="J243" s="109"/>
      <c r="K243" s="110"/>
      <c r="L243" s="107"/>
      <c r="M243" s="108"/>
      <c r="N243" s="111"/>
    </row>
    <row r="244" spans="1:14" outlineLevel="2">
      <c r="B244" s="19"/>
      <c r="C244" s="19"/>
      <c r="D244" s="19"/>
      <c r="E244" s="19"/>
      <c r="F244" s="19"/>
      <c r="G244" s="116"/>
      <c r="H244" s="117"/>
      <c r="I244" s="118"/>
      <c r="J244" s="119"/>
      <c r="K244" s="116"/>
      <c r="L244" s="117"/>
      <c r="M244" s="118"/>
      <c r="N244" s="119"/>
    </row>
    <row r="245" spans="1:14" outlineLevel="2">
      <c r="B245" s="54" t="s">
        <v>1147</v>
      </c>
      <c r="C245" s="54" t="s">
        <v>142</v>
      </c>
      <c r="D245" s="19"/>
      <c r="E245" s="19"/>
      <c r="F245" s="19"/>
      <c r="G245" s="116"/>
      <c r="H245" s="117"/>
      <c r="I245" s="118"/>
      <c r="J245" s="119"/>
      <c r="K245" s="116"/>
      <c r="L245" s="117"/>
      <c r="M245" s="118"/>
      <c r="N245" s="119"/>
    </row>
    <row r="246" spans="1:14" outlineLevel="2">
      <c r="B246" s="19"/>
      <c r="C246" s="19"/>
      <c r="D246" s="19"/>
      <c r="E246" s="19"/>
      <c r="F246" s="19"/>
      <c r="G246" s="116"/>
      <c r="H246" s="117"/>
      <c r="I246" s="118"/>
      <c r="J246" s="119"/>
      <c r="K246" s="116"/>
      <c r="L246" s="117"/>
      <c r="M246" s="118"/>
      <c r="N246" s="119"/>
    </row>
    <row r="247" spans="1:14" outlineLevel="2">
      <c r="B247" s="19"/>
      <c r="C247" s="536" t="s">
        <v>143</v>
      </c>
      <c r="D247" s="537"/>
      <c r="E247" s="537"/>
      <c r="F247" s="538"/>
      <c r="G247" s="116"/>
      <c r="H247" s="117"/>
      <c r="I247" s="118"/>
      <c r="J247" s="119"/>
      <c r="K247" s="116"/>
      <c r="L247" s="117"/>
      <c r="M247" s="118"/>
      <c r="N247" s="119"/>
    </row>
    <row r="248" spans="1:14" outlineLevel="2">
      <c r="B248" s="19"/>
      <c r="C248" s="539"/>
      <c r="D248" s="540"/>
      <c r="E248" s="540"/>
      <c r="F248" s="541"/>
      <c r="G248" s="116"/>
      <c r="H248" s="117"/>
      <c r="I248" s="118"/>
      <c r="J248" s="119"/>
      <c r="K248" s="116"/>
      <c r="L248" s="117"/>
      <c r="M248" s="118"/>
      <c r="N248" s="119"/>
    </row>
    <row r="249" spans="1:14" outlineLevel="2">
      <c r="B249" s="19"/>
      <c r="C249" s="539"/>
      <c r="D249" s="540"/>
      <c r="E249" s="540"/>
      <c r="F249" s="541"/>
      <c r="G249" s="116"/>
      <c r="H249" s="117"/>
      <c r="I249" s="118"/>
      <c r="J249" s="119"/>
      <c r="K249" s="116"/>
      <c r="L249" s="117"/>
      <c r="M249" s="118"/>
      <c r="N249" s="119"/>
    </row>
    <row r="250" spans="1:14" outlineLevel="2">
      <c r="B250" s="19"/>
      <c r="C250" s="542"/>
      <c r="D250" s="543"/>
      <c r="E250" s="543"/>
      <c r="F250" s="544"/>
      <c r="G250" s="116"/>
      <c r="H250" s="117"/>
      <c r="I250" s="118"/>
      <c r="J250" s="119"/>
      <c r="K250" s="116"/>
      <c r="L250" s="117"/>
      <c r="M250" s="118"/>
      <c r="N250" s="119"/>
    </row>
    <row r="251" spans="1:14" outlineLevel="2">
      <c r="B251" s="19"/>
      <c r="C251" s="19"/>
      <c r="D251" s="19"/>
      <c r="E251" s="19"/>
      <c r="F251" s="19"/>
      <c r="G251" s="116"/>
      <c r="H251" s="117"/>
      <c r="I251" s="118"/>
      <c r="J251" s="119"/>
      <c r="K251" s="116"/>
      <c r="L251" s="117"/>
      <c r="M251" s="118"/>
      <c r="N251" s="119"/>
    </row>
    <row r="252" spans="1:14" outlineLevel="1">
      <c r="B252" s="54"/>
      <c r="C252" s="54"/>
      <c r="D252" s="72"/>
      <c r="E252" s="72"/>
      <c r="F252" s="73"/>
      <c r="G252" s="116"/>
      <c r="H252" s="117"/>
      <c r="I252" s="118"/>
      <c r="J252" s="119"/>
      <c r="K252" s="116"/>
      <c r="L252" s="117"/>
      <c r="M252" s="118"/>
      <c r="N252" s="119"/>
    </row>
    <row r="253" spans="1:14" outlineLevel="1">
      <c r="A253" s="10"/>
      <c r="B253" s="46" t="s">
        <v>1149</v>
      </c>
      <c r="C253" s="46" t="s">
        <v>144</v>
      </c>
      <c r="D253" s="10"/>
      <c r="E253" s="10"/>
      <c r="F253" s="10"/>
      <c r="G253" s="116"/>
      <c r="H253" s="117"/>
      <c r="I253" s="118"/>
      <c r="J253" s="119"/>
      <c r="K253" s="116"/>
      <c r="L253" s="117"/>
      <c r="M253" s="118"/>
      <c r="N253" s="119"/>
    </row>
    <row r="254" spans="1:14" outlineLevel="1">
      <c r="B254" s="46"/>
      <c r="C254" s="46"/>
      <c r="D254" s="36" t="s">
        <v>108</v>
      </c>
      <c r="E254" s="36" t="s">
        <v>109</v>
      </c>
      <c r="F254" s="36" t="s">
        <v>110</v>
      </c>
      <c r="G254" s="116"/>
      <c r="H254" s="117"/>
      <c r="I254" s="118"/>
      <c r="J254" s="119"/>
      <c r="K254" s="116"/>
      <c r="L254" s="117"/>
      <c r="M254" s="118"/>
      <c r="N254" s="119"/>
    </row>
    <row r="255" spans="1:14" outlineLevel="1">
      <c r="B255" s="46"/>
      <c r="C255" s="46"/>
      <c r="D255" s="37"/>
      <c r="E255" s="37"/>
      <c r="F255" s="38"/>
      <c r="G255" s="116"/>
      <c r="H255" s="117"/>
      <c r="I255" s="118"/>
      <c r="J255" s="119"/>
      <c r="K255" s="116"/>
      <c r="L255" s="117"/>
      <c r="M255" s="118"/>
      <c r="N255" s="119"/>
    </row>
    <row r="256" spans="1:14" ht="15" outlineLevel="2" thickBot="1">
      <c r="B256" s="46"/>
      <c r="C256" s="46"/>
      <c r="D256" s="10"/>
      <c r="E256" s="10"/>
      <c r="F256" s="10"/>
      <c r="G256" s="116"/>
      <c r="H256" s="117"/>
      <c r="I256" s="118"/>
      <c r="J256" s="119"/>
      <c r="K256" s="116"/>
      <c r="L256" s="117"/>
      <c r="M256" s="118"/>
      <c r="N256" s="119"/>
    </row>
    <row r="257" spans="1:14" outlineLevel="2">
      <c r="B257" s="10"/>
      <c r="C257" s="584" t="s">
        <v>111</v>
      </c>
      <c r="D257" s="584"/>
      <c r="E257" s="784"/>
      <c r="F257" s="69" t="s">
        <v>340</v>
      </c>
      <c r="G257" s="98"/>
      <c r="H257" s="95"/>
      <c r="I257" s="96"/>
      <c r="J257" s="97"/>
      <c r="K257" s="98"/>
      <c r="L257" s="95"/>
      <c r="M257" s="96"/>
      <c r="N257" s="99"/>
    </row>
    <row r="258" spans="1:14" outlineLevel="2">
      <c r="B258" s="10"/>
      <c r="C258" s="584"/>
      <c r="D258" s="584"/>
      <c r="E258" s="784"/>
      <c r="F258" s="176" t="s">
        <v>341</v>
      </c>
      <c r="G258" s="104"/>
      <c r="H258" s="101"/>
      <c r="I258" s="102"/>
      <c r="J258" s="103"/>
      <c r="K258" s="104"/>
      <c r="L258" s="101"/>
      <c r="M258" s="102"/>
      <c r="N258" s="105"/>
    </row>
    <row r="259" spans="1:14" outlineLevel="2">
      <c r="B259" s="10"/>
      <c r="C259" s="10"/>
      <c r="D259" s="10"/>
      <c r="E259" s="10"/>
      <c r="F259" s="10"/>
      <c r="G259" s="116"/>
      <c r="H259" s="117"/>
      <c r="I259" s="118"/>
      <c r="J259" s="119"/>
      <c r="K259" s="116"/>
      <c r="L259" s="117"/>
      <c r="M259" s="118"/>
      <c r="N259" s="119"/>
    </row>
    <row r="260" spans="1:14" outlineLevel="2">
      <c r="B260" s="10"/>
      <c r="C260" s="536" t="s">
        <v>98</v>
      </c>
      <c r="D260" s="537"/>
      <c r="E260" s="537"/>
      <c r="F260" s="538"/>
      <c r="G260" s="116"/>
      <c r="H260" s="117"/>
      <c r="I260" s="118"/>
      <c r="J260" s="119"/>
      <c r="K260" s="116"/>
      <c r="L260" s="117"/>
      <c r="M260" s="118"/>
      <c r="N260" s="119"/>
    </row>
    <row r="261" spans="1:14" outlineLevel="2">
      <c r="B261" s="10"/>
      <c r="C261" s="539"/>
      <c r="D261" s="540"/>
      <c r="E261" s="540"/>
      <c r="F261" s="541"/>
      <c r="G261" s="116"/>
      <c r="H261" s="117"/>
      <c r="I261" s="118"/>
      <c r="J261" s="119"/>
      <c r="K261" s="116"/>
      <c r="L261" s="117"/>
      <c r="M261" s="118"/>
      <c r="N261" s="119"/>
    </row>
    <row r="262" spans="1:14" outlineLevel="2">
      <c r="B262" s="10"/>
      <c r="C262" s="539"/>
      <c r="D262" s="540"/>
      <c r="E262" s="540"/>
      <c r="F262" s="541"/>
      <c r="G262" s="116"/>
      <c r="H262" s="117"/>
      <c r="I262" s="118"/>
      <c r="J262" s="119"/>
      <c r="K262" s="116"/>
      <c r="L262" s="117"/>
      <c r="M262" s="118"/>
      <c r="N262" s="119"/>
    </row>
    <row r="263" spans="1:14" outlineLevel="2">
      <c r="B263" s="10"/>
      <c r="C263" s="542"/>
      <c r="D263" s="543"/>
      <c r="E263" s="543"/>
      <c r="F263" s="544"/>
      <c r="G263" s="116"/>
      <c r="H263" s="117"/>
      <c r="I263" s="118"/>
      <c r="J263" s="119"/>
      <c r="K263" s="116"/>
      <c r="L263" s="117"/>
      <c r="M263" s="118"/>
      <c r="N263" s="119"/>
    </row>
    <row r="264" spans="1:14" outlineLevel="2">
      <c r="B264" s="10"/>
      <c r="C264" s="10"/>
      <c r="D264" s="10"/>
      <c r="E264" s="10"/>
      <c r="F264" s="10"/>
      <c r="G264" s="116"/>
      <c r="H264" s="117"/>
      <c r="I264" s="118"/>
      <c r="J264" s="119"/>
      <c r="K264" s="116"/>
      <c r="L264" s="117"/>
      <c r="M264" s="118"/>
      <c r="N264" s="119"/>
    </row>
    <row r="265" spans="1:14" outlineLevel="1">
      <c r="B265" s="10"/>
      <c r="C265" s="10"/>
      <c r="D265" s="10"/>
      <c r="E265" s="10"/>
      <c r="F265" s="10"/>
      <c r="G265" s="116"/>
      <c r="H265" s="117"/>
      <c r="I265" s="118"/>
      <c r="J265" s="119"/>
      <c r="K265" s="116"/>
      <c r="L265" s="117"/>
      <c r="M265" s="118"/>
      <c r="N265" s="119"/>
    </row>
    <row r="266" spans="1:14" outlineLevel="1">
      <c r="A266" s="9"/>
      <c r="B266" s="61" t="s">
        <v>1152</v>
      </c>
      <c r="C266" s="61" t="s">
        <v>145</v>
      </c>
      <c r="D266" s="9"/>
      <c r="E266" s="9"/>
      <c r="F266" s="9"/>
      <c r="G266" s="116"/>
      <c r="H266" s="117"/>
      <c r="I266" s="118"/>
      <c r="J266" s="119"/>
      <c r="K266" s="116"/>
      <c r="L266" s="117"/>
      <c r="M266" s="118"/>
      <c r="N266" s="119"/>
    </row>
    <row r="267" spans="1:14" outlineLevel="1">
      <c r="B267" s="61"/>
      <c r="C267" s="61"/>
      <c r="D267" s="36" t="s">
        <v>108</v>
      </c>
      <c r="E267" s="36" t="s">
        <v>109</v>
      </c>
      <c r="F267" s="36" t="s">
        <v>110</v>
      </c>
      <c r="G267" s="116"/>
      <c r="H267" s="117"/>
      <c r="I267" s="118"/>
      <c r="J267" s="119"/>
      <c r="K267" s="116"/>
      <c r="L267" s="117"/>
      <c r="M267" s="118"/>
      <c r="N267" s="119"/>
    </row>
    <row r="268" spans="1:14" outlineLevel="1">
      <c r="B268" s="61"/>
      <c r="C268" s="61"/>
      <c r="D268" s="37"/>
      <c r="E268" s="37"/>
      <c r="F268" s="84"/>
      <c r="G268" s="116"/>
      <c r="H268" s="117"/>
      <c r="I268" s="118"/>
      <c r="J268" s="119"/>
      <c r="K268" s="116"/>
      <c r="L268" s="117"/>
      <c r="M268" s="118"/>
      <c r="N268" s="119"/>
    </row>
    <row r="269" spans="1:14" outlineLevel="2">
      <c r="B269" s="9"/>
      <c r="C269" s="9" t="s">
        <v>838</v>
      </c>
      <c r="D269" s="9"/>
      <c r="E269" s="9"/>
      <c r="F269" s="9"/>
      <c r="G269" s="116"/>
      <c r="H269" s="117"/>
      <c r="I269" s="118"/>
      <c r="J269" s="119"/>
      <c r="K269" s="116"/>
      <c r="L269" s="117"/>
      <c r="M269" s="118"/>
      <c r="N269" s="119"/>
    </row>
    <row r="270" spans="1:14" outlineLevel="2">
      <c r="B270" s="9"/>
      <c r="C270" s="9"/>
      <c r="D270" s="9"/>
      <c r="E270" s="9"/>
      <c r="F270" s="9"/>
      <c r="G270" s="116"/>
      <c r="H270" s="117"/>
      <c r="I270" s="118"/>
      <c r="J270" s="119"/>
      <c r="K270" s="116"/>
      <c r="L270" s="117"/>
      <c r="M270" s="118"/>
      <c r="N270" s="119"/>
    </row>
    <row r="271" spans="1:14" outlineLevel="2">
      <c r="B271" s="9"/>
      <c r="C271" s="9"/>
      <c r="D271" s="9"/>
      <c r="E271" s="9"/>
      <c r="F271" s="9"/>
      <c r="G271" s="116"/>
      <c r="H271" s="117"/>
      <c r="I271" s="118"/>
      <c r="J271" s="119"/>
      <c r="K271" s="116"/>
      <c r="L271" s="117"/>
      <c r="M271" s="118"/>
      <c r="N271" s="119"/>
    </row>
    <row r="272" spans="1:14" outlineLevel="2">
      <c r="B272" s="9"/>
      <c r="C272" s="9"/>
      <c r="D272" s="9"/>
      <c r="E272" s="9"/>
      <c r="F272" s="9"/>
      <c r="G272" s="116"/>
      <c r="H272" s="117"/>
      <c r="I272" s="118"/>
      <c r="J272" s="119"/>
      <c r="K272" s="116"/>
      <c r="L272" s="117"/>
      <c r="M272" s="118"/>
      <c r="N272" s="119"/>
    </row>
    <row r="273" spans="2:14" outlineLevel="2">
      <c r="B273" s="9"/>
      <c r="C273" s="9"/>
      <c r="D273" s="9"/>
      <c r="E273" s="9"/>
      <c r="F273" s="9"/>
      <c r="G273" s="116"/>
      <c r="H273" s="117"/>
      <c r="I273" s="118"/>
      <c r="J273" s="119"/>
      <c r="K273" s="116"/>
      <c r="L273" s="117"/>
      <c r="M273" s="118"/>
      <c r="N273" s="119"/>
    </row>
    <row r="274" spans="2:14" outlineLevel="2">
      <c r="B274" s="9"/>
      <c r="C274" s="9"/>
      <c r="D274" s="9"/>
      <c r="E274" s="9"/>
      <c r="F274" s="9"/>
      <c r="G274" s="116"/>
      <c r="H274" s="117"/>
      <c r="I274" s="118"/>
      <c r="J274" s="119"/>
      <c r="K274" s="116"/>
      <c r="L274" s="117"/>
      <c r="M274" s="118"/>
      <c r="N274" s="119"/>
    </row>
    <row r="275" spans="2:14" outlineLevel="2">
      <c r="B275" s="9"/>
      <c r="C275" s="9" t="s">
        <v>146</v>
      </c>
      <c r="D275" s="9"/>
      <c r="E275" s="9"/>
      <c r="F275" s="9"/>
      <c r="G275" s="116"/>
      <c r="H275" s="117"/>
      <c r="I275" s="118"/>
      <c r="J275" s="119"/>
      <c r="K275" s="116"/>
      <c r="L275" s="117"/>
      <c r="M275" s="118"/>
      <c r="N275" s="119"/>
    </row>
    <row r="276" spans="2:14" outlineLevel="2">
      <c r="B276" s="9"/>
      <c r="C276" s="9"/>
      <c r="D276" s="9"/>
      <c r="E276" s="9"/>
      <c r="F276" s="9"/>
      <c r="G276" s="116"/>
      <c r="H276" s="117"/>
      <c r="I276" s="118"/>
      <c r="J276" s="119"/>
      <c r="K276" s="116"/>
      <c r="L276" s="117"/>
      <c r="M276" s="118"/>
      <c r="N276" s="119"/>
    </row>
    <row r="277" spans="2:14" ht="15" outlineLevel="2" thickBot="1">
      <c r="B277" s="9"/>
      <c r="C277" s="9"/>
      <c r="D277" s="9"/>
      <c r="E277" s="9"/>
      <c r="F277" s="9"/>
      <c r="G277" s="116"/>
      <c r="H277" s="117"/>
      <c r="I277" s="118"/>
      <c r="J277" s="119"/>
      <c r="K277" s="116"/>
      <c r="L277" s="117"/>
      <c r="M277" s="118"/>
      <c r="N277" s="119"/>
    </row>
    <row r="278" spans="2:14" outlineLevel="2">
      <c r="B278" s="9"/>
      <c r="C278" s="9"/>
      <c r="D278" s="9"/>
      <c r="E278" s="562" t="s">
        <v>147</v>
      </c>
      <c r="F278" s="563"/>
      <c r="G278" s="194"/>
      <c r="H278" s="194"/>
      <c r="I278" s="194"/>
      <c r="J278" s="194"/>
      <c r="K278" s="194"/>
      <c r="L278" s="194"/>
      <c r="M278" s="194"/>
      <c r="N278" s="195"/>
    </row>
    <row r="279" spans="2:14" outlineLevel="2">
      <c r="B279" s="9"/>
      <c r="C279" s="9"/>
      <c r="D279" s="9"/>
      <c r="E279" s="607" t="s">
        <v>148</v>
      </c>
      <c r="F279" s="608"/>
      <c r="G279" s="197"/>
      <c r="H279" s="197"/>
      <c r="I279" s="197"/>
      <c r="J279" s="197"/>
      <c r="K279" s="197"/>
      <c r="L279" s="197"/>
      <c r="M279" s="197"/>
      <c r="N279" s="198"/>
    </row>
    <row r="280" spans="2:14" ht="15" outlineLevel="2" thickBot="1">
      <c r="B280" s="9"/>
      <c r="C280" s="9"/>
      <c r="D280" s="9"/>
      <c r="E280" s="564" t="s">
        <v>149</v>
      </c>
      <c r="F280" s="565"/>
      <c r="G280" s="200"/>
      <c r="H280" s="200"/>
      <c r="I280" s="200"/>
      <c r="J280" s="200"/>
      <c r="K280" s="200"/>
      <c r="L280" s="200"/>
      <c r="M280" s="200"/>
      <c r="N280" s="201"/>
    </row>
    <row r="281" spans="2:14" outlineLevel="2">
      <c r="B281" s="9"/>
      <c r="C281" s="9"/>
      <c r="D281" s="9"/>
      <c r="E281" s="9"/>
      <c r="F281" s="9"/>
      <c r="G281" s="116"/>
      <c r="H281" s="117"/>
      <c r="I281" s="118"/>
      <c r="J281" s="119"/>
      <c r="K281" s="116"/>
      <c r="L281" s="117"/>
      <c r="M281" s="118"/>
      <c r="N281" s="119"/>
    </row>
    <row r="282" spans="2:14" outlineLevel="2">
      <c r="B282" s="9"/>
      <c r="C282" s="536" t="s">
        <v>98</v>
      </c>
      <c r="D282" s="537"/>
      <c r="E282" s="537"/>
      <c r="F282" s="538"/>
      <c r="G282" s="116"/>
      <c r="H282" s="117"/>
      <c r="I282" s="118"/>
      <c r="J282" s="119"/>
      <c r="K282" s="116"/>
      <c r="L282" s="117"/>
      <c r="M282" s="118"/>
      <c r="N282" s="119"/>
    </row>
    <row r="283" spans="2:14" outlineLevel="2">
      <c r="B283" s="9"/>
      <c r="C283" s="539"/>
      <c r="D283" s="540"/>
      <c r="E283" s="540"/>
      <c r="F283" s="541"/>
      <c r="G283" s="116"/>
      <c r="H283" s="117"/>
      <c r="I283" s="118"/>
      <c r="J283" s="119"/>
      <c r="K283" s="116"/>
      <c r="L283" s="117"/>
      <c r="M283" s="118"/>
      <c r="N283" s="119"/>
    </row>
    <row r="284" spans="2:14" outlineLevel="2">
      <c r="B284" s="9"/>
      <c r="C284" s="539"/>
      <c r="D284" s="540"/>
      <c r="E284" s="540"/>
      <c r="F284" s="541"/>
      <c r="G284" s="116"/>
      <c r="H284" s="117"/>
      <c r="I284" s="118"/>
      <c r="J284" s="119"/>
      <c r="K284" s="116"/>
      <c r="L284" s="117"/>
      <c r="M284" s="118"/>
      <c r="N284" s="119"/>
    </row>
    <row r="285" spans="2:14" outlineLevel="2">
      <c r="B285" s="9"/>
      <c r="C285" s="542"/>
      <c r="D285" s="543"/>
      <c r="E285" s="543"/>
      <c r="F285" s="544"/>
      <c r="G285" s="116"/>
      <c r="H285" s="117"/>
      <c r="I285" s="118"/>
      <c r="J285" s="119"/>
      <c r="K285" s="116"/>
      <c r="L285" s="117"/>
      <c r="M285" s="118"/>
      <c r="N285" s="119"/>
    </row>
    <row r="286" spans="2:14" outlineLevel="2">
      <c r="B286" s="9"/>
      <c r="C286" s="9"/>
      <c r="D286" s="9"/>
      <c r="E286" s="9"/>
      <c r="F286" s="9"/>
      <c r="G286" s="116"/>
      <c r="H286" s="117"/>
      <c r="I286" s="118"/>
      <c r="J286" s="119"/>
      <c r="K286" s="116"/>
      <c r="L286" s="117"/>
      <c r="M286" s="118"/>
      <c r="N286" s="119"/>
    </row>
    <row r="287" spans="2:14" outlineLevel="1">
      <c r="B287" s="9"/>
      <c r="C287" s="9"/>
      <c r="D287" s="9"/>
      <c r="E287" s="9"/>
      <c r="F287" s="9"/>
      <c r="G287" s="116"/>
      <c r="H287" s="117"/>
      <c r="I287" s="118"/>
      <c r="J287" s="119"/>
      <c r="K287" s="116"/>
      <c r="L287" s="117"/>
      <c r="M287" s="118"/>
      <c r="N287" s="119"/>
    </row>
    <row r="288" spans="2:14" outlineLevel="1">
      <c r="B288" s="8"/>
      <c r="C288" s="8"/>
      <c r="D288" s="8"/>
      <c r="E288" s="8"/>
      <c r="F288" s="8"/>
      <c r="G288" s="116"/>
      <c r="H288" s="117"/>
      <c r="I288" s="118"/>
      <c r="J288" s="119"/>
      <c r="K288" s="116"/>
      <c r="L288" s="117"/>
      <c r="M288" s="118"/>
      <c r="N288" s="119"/>
    </row>
    <row r="289" spans="1:14" outlineLevel="1">
      <c r="A289" s="8"/>
      <c r="B289" s="62" t="s">
        <v>1153</v>
      </c>
      <c r="C289" s="62" t="s">
        <v>150</v>
      </c>
      <c r="D289" s="8"/>
      <c r="E289" s="8"/>
      <c r="F289" s="8"/>
      <c r="G289" s="116"/>
      <c r="H289" s="117"/>
      <c r="I289" s="118"/>
      <c r="J289" s="119"/>
      <c r="K289" s="116"/>
      <c r="L289" s="117"/>
      <c r="M289" s="118"/>
      <c r="N289" s="119"/>
    </row>
    <row r="290" spans="1:14" outlineLevel="1">
      <c r="B290" s="62"/>
      <c r="C290" s="177" t="s">
        <v>342</v>
      </c>
      <c r="D290" s="36" t="s">
        <v>108</v>
      </c>
      <c r="E290" s="36" t="s">
        <v>109</v>
      </c>
      <c r="F290" s="36" t="s">
        <v>110</v>
      </c>
      <c r="G290" s="116"/>
      <c r="H290" s="117"/>
      <c r="I290" s="118"/>
      <c r="J290" s="119"/>
      <c r="K290" s="116"/>
      <c r="L290" s="117"/>
      <c r="M290" s="118"/>
      <c r="N290" s="119"/>
    </row>
    <row r="291" spans="1:14" outlineLevel="1">
      <c r="B291" s="62"/>
      <c r="C291" s="62"/>
      <c r="D291" s="37"/>
      <c r="E291" s="37"/>
      <c r="F291" s="84"/>
      <c r="G291" s="116"/>
      <c r="H291" s="117"/>
      <c r="I291" s="118"/>
      <c r="J291" s="119"/>
      <c r="K291" s="116"/>
      <c r="L291" s="117"/>
      <c r="M291" s="118"/>
      <c r="N291" s="119"/>
    </row>
    <row r="292" spans="1:14" ht="15" outlineLevel="2" thickBot="1">
      <c r="B292" s="62"/>
      <c r="C292" s="62"/>
      <c r="D292" s="8"/>
      <c r="E292" s="8"/>
      <c r="F292" s="8"/>
      <c r="G292" s="116"/>
      <c r="H292" s="117"/>
      <c r="I292" s="118"/>
      <c r="J292" s="119"/>
      <c r="K292" s="116"/>
      <c r="L292" s="117"/>
      <c r="M292" s="118"/>
      <c r="N292" s="119"/>
    </row>
    <row r="293" spans="1:14" ht="15" customHeight="1" outlineLevel="2">
      <c r="B293" s="8"/>
      <c r="C293" s="601" t="str">
        <f>IF('Datos ensayos LUM.'!L192=TRUE,"INTRODUCIR DATOS REVISANDO TABLA DEL ANEXO F","")</f>
        <v>INTRODUCIR DATOS REVISANDO TABLA DEL ANEXO F</v>
      </c>
      <c r="D293" s="602"/>
      <c r="E293" s="562" t="s">
        <v>151</v>
      </c>
      <c r="F293" s="603"/>
      <c r="G293" s="193"/>
      <c r="H293" s="194"/>
      <c r="I293" s="194"/>
      <c r="J293" s="194"/>
      <c r="K293" s="194"/>
      <c r="L293" s="194"/>
      <c r="M293" s="194"/>
      <c r="N293" s="195"/>
    </row>
    <row r="294" spans="1:14" ht="16.2" outlineLevel="2" thickBot="1">
      <c r="B294" s="8"/>
      <c r="C294" s="601"/>
      <c r="D294" s="602"/>
      <c r="E294" s="564" t="s">
        <v>343</v>
      </c>
      <c r="F294" s="604"/>
      <c r="G294" s="199"/>
      <c r="H294" s="200"/>
      <c r="I294" s="200"/>
      <c r="J294" s="200"/>
      <c r="K294" s="200"/>
      <c r="L294" s="200"/>
      <c r="M294" s="200"/>
      <c r="N294" s="201"/>
    </row>
    <row r="295" spans="1:14" outlineLevel="2">
      <c r="B295" s="8"/>
      <c r="C295" s="8"/>
      <c r="D295" s="8"/>
      <c r="E295" s="8"/>
      <c r="F295" s="8"/>
      <c r="G295" s="116"/>
      <c r="H295" s="117"/>
      <c r="I295" s="118"/>
      <c r="J295" s="119"/>
      <c r="K295" s="116"/>
      <c r="L295" s="117"/>
      <c r="M295" s="118"/>
      <c r="N295" s="119"/>
    </row>
    <row r="296" spans="1:14" outlineLevel="2">
      <c r="B296" s="8"/>
      <c r="C296" s="605" t="s">
        <v>345</v>
      </c>
      <c r="D296" s="605"/>
      <c r="E296" s="605"/>
      <c r="F296" s="605"/>
      <c r="G296" s="116"/>
      <c r="H296" s="117"/>
      <c r="I296" s="118"/>
      <c r="J296" s="119"/>
      <c r="K296" s="116"/>
      <c r="L296" s="117"/>
      <c r="M296" s="118"/>
      <c r="N296" s="119"/>
    </row>
    <row r="297" spans="1:14" outlineLevel="2">
      <c r="B297" s="8"/>
      <c r="C297" s="606"/>
      <c r="D297" s="606"/>
      <c r="E297" s="606"/>
      <c r="F297" s="606"/>
      <c r="G297" s="116"/>
      <c r="H297" s="117"/>
      <c r="I297" s="118"/>
      <c r="J297" s="119"/>
      <c r="K297" s="116"/>
      <c r="L297" s="117"/>
      <c r="M297" s="118"/>
      <c r="N297" s="119"/>
    </row>
    <row r="298" spans="1:14" outlineLevel="2">
      <c r="B298" s="8"/>
      <c r="C298" s="536" t="s">
        <v>98</v>
      </c>
      <c r="D298" s="537"/>
      <c r="E298" s="537"/>
      <c r="F298" s="538"/>
      <c r="G298" s="116"/>
      <c r="H298" s="117"/>
      <c r="I298" s="118"/>
      <c r="J298" s="119"/>
      <c r="K298" s="116"/>
      <c r="L298" s="117"/>
      <c r="M298" s="118"/>
      <c r="N298" s="119"/>
    </row>
    <row r="299" spans="1:14" outlineLevel="2">
      <c r="B299" s="8"/>
      <c r="C299" s="539"/>
      <c r="D299" s="540"/>
      <c r="E299" s="540"/>
      <c r="F299" s="541"/>
      <c r="G299" s="116"/>
      <c r="H299" s="117"/>
      <c r="I299" s="118"/>
      <c r="J299" s="119"/>
      <c r="K299" s="116"/>
      <c r="L299" s="117"/>
      <c r="M299" s="118"/>
      <c r="N299" s="119"/>
    </row>
    <row r="300" spans="1:14" outlineLevel="2">
      <c r="B300" s="8"/>
      <c r="C300" s="539"/>
      <c r="D300" s="540"/>
      <c r="E300" s="540"/>
      <c r="F300" s="541"/>
      <c r="G300" s="116"/>
      <c r="H300" s="117"/>
      <c r="I300" s="118"/>
      <c r="J300" s="119"/>
      <c r="K300" s="116"/>
      <c r="L300" s="117"/>
      <c r="M300" s="118"/>
      <c r="N300" s="119"/>
    </row>
    <row r="301" spans="1:14" outlineLevel="2">
      <c r="B301" s="8"/>
      <c r="C301" s="542"/>
      <c r="D301" s="543"/>
      <c r="E301" s="543"/>
      <c r="F301" s="544"/>
      <c r="G301" s="116"/>
      <c r="H301" s="117"/>
      <c r="I301" s="118"/>
      <c r="J301" s="119"/>
      <c r="K301" s="116"/>
      <c r="L301" s="117"/>
      <c r="M301" s="118"/>
      <c r="N301" s="119"/>
    </row>
    <row r="302" spans="1:14" outlineLevel="2">
      <c r="B302" s="8"/>
      <c r="C302" s="8"/>
      <c r="D302" s="8"/>
      <c r="E302" s="8"/>
      <c r="F302" s="8"/>
      <c r="G302" s="116"/>
      <c r="H302" s="117"/>
      <c r="I302" s="118"/>
      <c r="J302" s="119"/>
      <c r="K302" s="116"/>
      <c r="L302" s="117"/>
      <c r="M302" s="118"/>
      <c r="N302" s="119"/>
    </row>
    <row r="303" spans="1:14" outlineLevel="1">
      <c r="B303" s="8"/>
      <c r="C303" s="8"/>
      <c r="D303" s="8"/>
      <c r="E303" s="8"/>
      <c r="F303" s="8"/>
      <c r="G303" s="116"/>
      <c r="H303" s="117"/>
      <c r="I303" s="118"/>
      <c r="J303" s="119"/>
      <c r="K303" s="116"/>
      <c r="L303" s="117"/>
      <c r="M303" s="118"/>
      <c r="N303" s="119"/>
    </row>
    <row r="304" spans="1:14" outlineLevel="1">
      <c r="B304" s="19"/>
      <c r="C304" s="19"/>
      <c r="D304" s="19"/>
      <c r="E304" s="19"/>
      <c r="F304" s="19"/>
      <c r="G304" s="116"/>
      <c r="H304" s="117"/>
      <c r="I304" s="118"/>
      <c r="J304" s="119"/>
      <c r="K304" s="116"/>
      <c r="L304" s="117"/>
      <c r="M304" s="118"/>
      <c r="N304" s="119"/>
    </row>
    <row r="305" spans="1:14" outlineLevel="1">
      <c r="A305" s="19"/>
      <c r="B305" s="54" t="s">
        <v>1154</v>
      </c>
      <c r="C305" s="54" t="s">
        <v>152</v>
      </c>
      <c r="D305" s="19"/>
      <c r="E305" s="19"/>
      <c r="F305" s="19"/>
      <c r="G305" s="116"/>
      <c r="H305" s="117"/>
      <c r="I305" s="118"/>
      <c r="J305" s="119"/>
      <c r="K305" s="116"/>
      <c r="L305" s="117"/>
      <c r="M305" s="118"/>
      <c r="N305" s="119"/>
    </row>
    <row r="306" spans="1:14" outlineLevel="1">
      <c r="A306" s="363"/>
      <c r="B306" s="54"/>
      <c r="C306" s="54"/>
      <c r="D306" s="36" t="s">
        <v>108</v>
      </c>
      <c r="E306" s="36" t="s">
        <v>109</v>
      </c>
      <c r="F306" s="36" t="s">
        <v>110</v>
      </c>
      <c r="G306" s="116"/>
      <c r="H306" s="117"/>
      <c r="I306" s="118"/>
      <c r="J306" s="119"/>
      <c r="K306" s="116"/>
      <c r="L306" s="117"/>
      <c r="M306" s="118"/>
      <c r="N306" s="119"/>
    </row>
    <row r="307" spans="1:14" outlineLevel="1">
      <c r="A307" s="363"/>
      <c r="B307" s="54"/>
      <c r="C307" s="54"/>
      <c r="D307" s="37"/>
      <c r="E307" s="37"/>
      <c r="F307" s="84"/>
      <c r="G307" s="116"/>
      <c r="H307" s="117"/>
      <c r="I307" s="118"/>
      <c r="J307" s="119"/>
      <c r="K307" s="116"/>
      <c r="L307" s="117"/>
      <c r="M307" s="118"/>
      <c r="N307" s="119"/>
    </row>
    <row r="308" spans="1:14" outlineLevel="2">
      <c r="A308" s="363"/>
      <c r="B308" s="54"/>
      <c r="C308" s="54" t="s">
        <v>346</v>
      </c>
      <c r="D308" s="19"/>
      <c r="E308" s="19"/>
      <c r="F308" s="19"/>
      <c r="G308" s="116"/>
      <c r="H308" s="117"/>
      <c r="I308" s="118"/>
      <c r="J308" s="119"/>
      <c r="K308" s="116"/>
      <c r="L308" s="117"/>
      <c r="M308" s="118"/>
      <c r="N308" s="119"/>
    </row>
    <row r="309" spans="1:14" outlineLevel="2">
      <c r="A309" s="363"/>
      <c r="B309" s="54"/>
      <c r="C309" s="54"/>
      <c r="D309" s="19"/>
      <c r="E309" s="19"/>
      <c r="F309" s="19"/>
      <c r="G309" s="116"/>
      <c r="H309" s="117"/>
      <c r="I309" s="118"/>
      <c r="J309" s="119"/>
      <c r="K309" s="116"/>
      <c r="L309" s="117"/>
      <c r="M309" s="118"/>
      <c r="N309" s="119"/>
    </row>
    <row r="310" spans="1:14" outlineLevel="2">
      <c r="A310" s="363"/>
      <c r="B310" s="54"/>
      <c r="C310" s="54"/>
      <c r="D310" s="19"/>
      <c r="E310" s="19"/>
      <c r="F310" s="19"/>
      <c r="G310" s="116"/>
      <c r="H310" s="117"/>
      <c r="I310" s="118"/>
      <c r="J310" s="119"/>
      <c r="K310" s="116"/>
      <c r="L310" s="117"/>
      <c r="M310" s="118"/>
      <c r="N310" s="119"/>
    </row>
    <row r="311" spans="1:14" ht="15" outlineLevel="2" thickBot="1">
      <c r="A311" s="363"/>
      <c r="B311" s="54"/>
      <c r="C311" s="54"/>
      <c r="D311" s="19"/>
      <c r="E311" s="19"/>
      <c r="F311" s="19"/>
      <c r="G311" s="116"/>
      <c r="H311" s="117"/>
      <c r="I311" s="118"/>
      <c r="J311" s="119"/>
      <c r="K311" s="116"/>
      <c r="L311" s="117"/>
      <c r="M311" s="118"/>
      <c r="N311" s="119"/>
    </row>
    <row r="312" spans="1:14" ht="15" customHeight="1" outlineLevel="2">
      <c r="A312" s="363"/>
      <c r="B312" s="19"/>
      <c r="C312" s="561" t="s">
        <v>354</v>
      </c>
      <c r="D312" s="779"/>
      <c r="E312" s="562" t="s">
        <v>153</v>
      </c>
      <c r="F312" s="603"/>
      <c r="G312" s="94"/>
      <c r="H312" s="95"/>
      <c r="I312" s="96"/>
      <c r="J312" s="97"/>
      <c r="K312" s="98"/>
      <c r="L312" s="95"/>
      <c r="M312" s="96"/>
      <c r="N312" s="99"/>
    </row>
    <row r="313" spans="1:14" outlineLevel="2">
      <c r="A313" s="363"/>
      <c r="B313" s="19"/>
      <c r="C313" s="561"/>
      <c r="D313" s="779"/>
      <c r="E313" s="799" t="s">
        <v>154</v>
      </c>
      <c r="F313" s="800"/>
      <c r="G313" s="100"/>
      <c r="H313" s="101"/>
      <c r="I313" s="102"/>
      <c r="J313" s="103"/>
      <c r="K313" s="104"/>
      <c r="L313" s="101"/>
      <c r="M313" s="102"/>
      <c r="N313" s="105"/>
    </row>
    <row r="314" spans="1:14" ht="15" outlineLevel="2" thickBot="1">
      <c r="A314" s="363"/>
      <c r="B314" s="19"/>
      <c r="C314" s="561"/>
      <c r="D314" s="779"/>
      <c r="E314" s="564" t="s">
        <v>155</v>
      </c>
      <c r="F314" s="604"/>
      <c r="G314" s="106"/>
      <c r="H314" s="107"/>
      <c r="I314" s="108"/>
      <c r="J314" s="109"/>
      <c r="K314" s="110"/>
      <c r="L314" s="107"/>
      <c r="M314" s="108"/>
      <c r="N314" s="111"/>
    </row>
    <row r="315" spans="1:14" outlineLevel="2">
      <c r="A315" s="363"/>
      <c r="B315" s="19"/>
      <c r="C315" s="19"/>
      <c r="D315" s="19"/>
      <c r="E315" s="19"/>
      <c r="F315" s="19"/>
      <c r="G315" s="116"/>
      <c r="H315" s="117"/>
      <c r="I315" s="118"/>
      <c r="J315" s="119"/>
      <c r="K315" s="116"/>
      <c r="L315" s="117"/>
      <c r="M315" s="118"/>
      <c r="N315" s="119"/>
    </row>
    <row r="316" spans="1:14" outlineLevel="2">
      <c r="A316" s="363"/>
      <c r="B316" s="19"/>
      <c r="C316" s="536" t="s">
        <v>98</v>
      </c>
      <c r="D316" s="537"/>
      <c r="E316" s="537"/>
      <c r="F316" s="538"/>
      <c r="G316" s="116"/>
      <c r="H316" s="117"/>
      <c r="I316" s="118"/>
      <c r="J316" s="119"/>
      <c r="K316" s="116"/>
      <c r="L316" s="117"/>
      <c r="M316" s="118"/>
      <c r="N316" s="119"/>
    </row>
    <row r="317" spans="1:14" outlineLevel="2">
      <c r="A317" s="363"/>
      <c r="B317" s="19"/>
      <c r="C317" s="539"/>
      <c r="D317" s="540"/>
      <c r="E317" s="540"/>
      <c r="F317" s="541"/>
      <c r="G317" s="116"/>
      <c r="H317" s="117"/>
      <c r="I317" s="118"/>
      <c r="J317" s="119"/>
      <c r="K317" s="116"/>
      <c r="L317" s="117"/>
      <c r="M317" s="118"/>
      <c r="N317" s="119"/>
    </row>
    <row r="318" spans="1:14" outlineLevel="2">
      <c r="A318" s="363"/>
      <c r="B318" s="19"/>
      <c r="C318" s="539"/>
      <c r="D318" s="540"/>
      <c r="E318" s="540"/>
      <c r="F318" s="541"/>
      <c r="G318" s="116"/>
      <c r="H318" s="117"/>
      <c r="I318" s="118"/>
      <c r="J318" s="119"/>
      <c r="K318" s="116"/>
      <c r="L318" s="117"/>
      <c r="M318" s="118"/>
      <c r="N318" s="119"/>
    </row>
    <row r="319" spans="1:14" outlineLevel="2">
      <c r="A319" s="363"/>
      <c r="B319" s="19"/>
      <c r="C319" s="542"/>
      <c r="D319" s="543"/>
      <c r="E319" s="543"/>
      <c r="F319" s="544"/>
      <c r="G319" s="116"/>
      <c r="H319" s="117"/>
      <c r="I319" s="118"/>
      <c r="J319" s="119"/>
      <c r="K319" s="116"/>
      <c r="L319" s="117"/>
      <c r="M319" s="118"/>
      <c r="N319" s="119"/>
    </row>
    <row r="320" spans="1:14" outlineLevel="2">
      <c r="A320" s="363"/>
      <c r="B320" s="19"/>
      <c r="C320" s="19"/>
      <c r="D320" s="19"/>
      <c r="E320" s="19"/>
      <c r="F320" s="19"/>
      <c r="G320" s="116"/>
      <c r="H320" s="117"/>
      <c r="I320" s="118"/>
      <c r="J320" s="119"/>
      <c r="K320" s="116"/>
      <c r="L320" s="117"/>
      <c r="M320" s="118"/>
      <c r="N320" s="119"/>
    </row>
    <row r="321" spans="1:14" outlineLevel="1">
      <c r="A321" s="363"/>
      <c r="B321" s="19"/>
      <c r="C321" s="19"/>
      <c r="D321" s="19"/>
      <c r="E321" s="19"/>
      <c r="F321" s="19"/>
      <c r="G321" s="116"/>
      <c r="H321" s="117"/>
      <c r="I321" s="118"/>
      <c r="J321" s="119"/>
      <c r="K321" s="116"/>
      <c r="L321" s="117"/>
      <c r="M321" s="118"/>
      <c r="N321" s="119"/>
    </row>
    <row r="322" spans="1:14" outlineLevel="1">
      <c r="B322" s="10"/>
      <c r="C322" s="10"/>
      <c r="D322" s="10"/>
      <c r="E322" s="10"/>
      <c r="F322" s="10"/>
      <c r="G322" s="116"/>
      <c r="H322" s="117"/>
      <c r="I322" s="118"/>
      <c r="J322" s="119"/>
      <c r="K322" s="116"/>
      <c r="L322" s="117"/>
      <c r="M322" s="118"/>
      <c r="N322" s="119"/>
    </row>
    <row r="323" spans="1:14" outlineLevel="1">
      <c r="A323" s="10"/>
      <c r="B323" s="46" t="s">
        <v>1157</v>
      </c>
      <c r="C323" s="46" t="s">
        <v>363</v>
      </c>
      <c r="D323" s="10"/>
      <c r="E323" s="10"/>
      <c r="F323" s="10"/>
      <c r="G323" s="116"/>
      <c r="H323" s="117"/>
      <c r="I323" s="118"/>
      <c r="J323" s="119"/>
      <c r="K323" s="116"/>
      <c r="L323" s="117"/>
      <c r="M323" s="118"/>
      <c r="N323" s="119"/>
    </row>
    <row r="324" spans="1:14" outlineLevel="1">
      <c r="B324" s="46"/>
      <c r="C324" s="46"/>
      <c r="D324" s="36" t="s">
        <v>108</v>
      </c>
      <c r="E324" s="36" t="s">
        <v>109</v>
      </c>
      <c r="F324" s="36" t="s">
        <v>110</v>
      </c>
      <c r="G324" s="116"/>
      <c r="H324" s="117"/>
      <c r="I324" s="118"/>
      <c r="J324" s="119"/>
      <c r="K324" s="116"/>
      <c r="L324" s="117"/>
      <c r="M324" s="118"/>
      <c r="N324" s="119"/>
    </row>
    <row r="325" spans="1:14" outlineLevel="1">
      <c r="B325" s="46"/>
      <c r="C325" s="46"/>
      <c r="D325" s="37"/>
      <c r="E325" s="37"/>
      <c r="F325" s="38"/>
      <c r="G325" s="116"/>
      <c r="H325" s="117"/>
      <c r="I325" s="118"/>
      <c r="J325" s="119"/>
      <c r="K325" s="116"/>
      <c r="L325" s="117"/>
      <c r="M325" s="118"/>
      <c r="N325" s="119"/>
    </row>
    <row r="326" spans="1:14" ht="15" outlineLevel="2" thickBot="1">
      <c r="B326" s="46"/>
      <c r="C326" s="46"/>
      <c r="D326" s="10"/>
      <c r="E326" s="10"/>
      <c r="F326" s="10"/>
      <c r="G326" s="116"/>
      <c r="H326" s="117"/>
      <c r="I326" s="118"/>
      <c r="J326" s="119"/>
      <c r="K326" s="116"/>
      <c r="L326" s="117"/>
      <c r="M326" s="118"/>
      <c r="N326" s="119"/>
    </row>
    <row r="327" spans="1:14" outlineLevel="2">
      <c r="B327" s="10"/>
      <c r="C327" s="767" t="s">
        <v>156</v>
      </c>
      <c r="D327" s="768"/>
      <c r="E327" s="563" t="s">
        <v>157</v>
      </c>
      <c r="F327" s="603"/>
      <c r="G327" s="193"/>
      <c r="H327" s="194"/>
      <c r="I327" s="194"/>
      <c r="J327" s="194"/>
      <c r="K327" s="194"/>
      <c r="L327" s="194"/>
      <c r="M327" s="194"/>
      <c r="N327" s="195"/>
    </row>
    <row r="328" spans="1:14" outlineLevel="2">
      <c r="B328" s="10"/>
      <c r="C328" s="769"/>
      <c r="D328" s="770"/>
      <c r="E328" s="608" t="s">
        <v>158</v>
      </c>
      <c r="F328" s="773"/>
      <c r="G328" s="196"/>
      <c r="H328" s="197"/>
      <c r="I328" s="197"/>
      <c r="J328" s="197"/>
      <c r="K328" s="197"/>
      <c r="L328" s="197"/>
      <c r="M328" s="197"/>
      <c r="N328" s="198"/>
    </row>
    <row r="329" spans="1:14" ht="15" outlineLevel="2" thickBot="1">
      <c r="B329" s="10"/>
      <c r="C329" s="771"/>
      <c r="D329" s="772"/>
      <c r="E329" s="565" t="s">
        <v>159</v>
      </c>
      <c r="F329" s="604"/>
      <c r="G329" s="199"/>
      <c r="H329" s="200"/>
      <c r="I329" s="200"/>
      <c r="J329" s="200"/>
      <c r="K329" s="200"/>
      <c r="L329" s="200"/>
      <c r="M329" s="200"/>
      <c r="N329" s="201"/>
    </row>
    <row r="330" spans="1:14" outlineLevel="2">
      <c r="B330" s="10"/>
      <c r="C330" s="10"/>
      <c r="D330" s="10"/>
      <c r="E330" s="10"/>
      <c r="F330" s="10"/>
      <c r="G330" s="116"/>
      <c r="H330" s="117"/>
      <c r="I330" s="118"/>
      <c r="J330" s="119"/>
      <c r="K330" s="116"/>
      <c r="L330" s="117"/>
      <c r="M330" s="118"/>
      <c r="N330" s="119"/>
    </row>
    <row r="331" spans="1:14" outlineLevel="2">
      <c r="B331" s="10"/>
      <c r="C331" s="10" t="s">
        <v>160</v>
      </c>
      <c r="D331" s="10"/>
      <c r="E331" s="10"/>
      <c r="F331" s="10"/>
      <c r="G331" s="116"/>
      <c r="H331" s="117"/>
      <c r="I331" s="118"/>
      <c r="J331" s="119"/>
      <c r="K331" s="116"/>
      <c r="L331" s="117"/>
      <c r="M331" s="118"/>
      <c r="N331" s="119"/>
    </row>
    <row r="332" spans="1:14" outlineLevel="2">
      <c r="B332" s="10"/>
      <c r="C332" s="10"/>
      <c r="D332" s="10"/>
      <c r="E332" s="10"/>
      <c r="F332" s="10"/>
      <c r="G332" s="116"/>
      <c r="H332" s="117"/>
      <c r="I332" s="118"/>
      <c r="J332" s="119"/>
      <c r="K332" s="116"/>
      <c r="L332" s="117"/>
      <c r="M332" s="118"/>
      <c r="N332" s="119"/>
    </row>
    <row r="333" spans="1:14" ht="15" outlineLevel="2" thickBot="1">
      <c r="B333" s="10"/>
      <c r="C333" s="10"/>
      <c r="D333" s="10"/>
      <c r="E333" s="10"/>
      <c r="F333" s="10"/>
      <c r="G333" s="116"/>
      <c r="H333" s="117"/>
      <c r="I333" s="118"/>
      <c r="J333" s="119"/>
      <c r="K333" s="116"/>
      <c r="L333" s="117"/>
      <c r="M333" s="118"/>
      <c r="N333" s="119"/>
    </row>
    <row r="334" spans="1:14" outlineLevel="2">
      <c r="B334" s="10"/>
      <c r="C334" s="587" t="s">
        <v>161</v>
      </c>
      <c r="D334" s="563" t="s">
        <v>162</v>
      </c>
      <c r="E334" s="563"/>
      <c r="F334" s="603"/>
      <c r="G334" s="193"/>
      <c r="H334" s="194"/>
      <c r="I334" s="194"/>
      <c r="J334" s="194"/>
      <c r="K334" s="194"/>
      <c r="L334" s="194"/>
      <c r="M334" s="194"/>
      <c r="N334" s="195"/>
    </row>
    <row r="335" spans="1:14" outlineLevel="2">
      <c r="B335" s="10"/>
      <c r="C335" s="589"/>
      <c r="D335" s="608" t="s">
        <v>163</v>
      </c>
      <c r="E335" s="608"/>
      <c r="F335" s="773"/>
      <c r="G335" s="196"/>
      <c r="H335" s="197"/>
      <c r="I335" s="197"/>
      <c r="J335" s="197"/>
      <c r="K335" s="197"/>
      <c r="L335" s="197"/>
      <c r="M335" s="197"/>
      <c r="N335" s="198"/>
    </row>
    <row r="336" spans="1:14" ht="15" outlineLevel="2" thickBot="1">
      <c r="B336" s="10"/>
      <c r="C336" s="591"/>
      <c r="D336" s="565" t="s">
        <v>164</v>
      </c>
      <c r="E336" s="565"/>
      <c r="F336" s="604"/>
      <c r="G336" s="199"/>
      <c r="H336" s="200"/>
      <c r="I336" s="200"/>
      <c r="J336" s="200"/>
      <c r="K336" s="200"/>
      <c r="L336" s="200"/>
      <c r="M336" s="200"/>
      <c r="N336" s="201"/>
    </row>
    <row r="337" spans="1:14" outlineLevel="2">
      <c r="B337" s="10"/>
      <c r="C337" s="10"/>
      <c r="D337" s="10"/>
      <c r="E337" s="10"/>
      <c r="F337" s="10"/>
      <c r="G337" s="116"/>
      <c r="H337" s="117"/>
      <c r="I337" s="118"/>
      <c r="J337" s="119"/>
      <c r="K337" s="116"/>
      <c r="L337" s="117"/>
      <c r="M337" s="118"/>
      <c r="N337" s="119"/>
    </row>
    <row r="338" spans="1:14" outlineLevel="2">
      <c r="B338" s="10"/>
      <c r="C338" s="774" t="s">
        <v>364</v>
      </c>
      <c r="D338" s="774"/>
      <c r="E338" s="774"/>
      <c r="F338" s="774"/>
      <c r="G338" s="116"/>
      <c r="H338" s="117"/>
      <c r="I338" s="118"/>
      <c r="J338" s="119"/>
      <c r="K338" s="116"/>
      <c r="L338" s="117"/>
      <c r="M338" s="118"/>
      <c r="N338" s="119"/>
    </row>
    <row r="339" spans="1:14" outlineLevel="2">
      <c r="B339" s="10"/>
      <c r="C339" s="774"/>
      <c r="D339" s="774"/>
      <c r="E339" s="774"/>
      <c r="F339" s="774"/>
      <c r="G339" s="116"/>
      <c r="H339" s="117"/>
      <c r="I339" s="118"/>
      <c r="J339" s="119"/>
      <c r="K339" s="116"/>
      <c r="L339" s="117"/>
      <c r="M339" s="118"/>
      <c r="N339" s="119"/>
    </row>
    <row r="340" spans="1:14" outlineLevel="2">
      <c r="B340" s="10"/>
      <c r="C340" s="10"/>
      <c r="D340" s="10"/>
      <c r="E340" s="10"/>
      <c r="F340" s="10"/>
      <c r="G340" s="116"/>
      <c r="H340" s="117"/>
      <c r="I340" s="118"/>
      <c r="J340" s="119"/>
      <c r="K340" s="116"/>
      <c r="L340" s="117"/>
      <c r="M340" s="118"/>
      <c r="N340" s="119"/>
    </row>
    <row r="341" spans="1:14" outlineLevel="2">
      <c r="B341" s="10"/>
      <c r="C341" s="536" t="s">
        <v>98</v>
      </c>
      <c r="D341" s="537"/>
      <c r="E341" s="537"/>
      <c r="F341" s="538"/>
      <c r="G341" s="116"/>
      <c r="H341" s="117"/>
      <c r="I341" s="118"/>
      <c r="J341" s="119"/>
      <c r="K341" s="116"/>
      <c r="L341" s="117"/>
      <c r="M341" s="118"/>
      <c r="N341" s="119"/>
    </row>
    <row r="342" spans="1:14" outlineLevel="2">
      <c r="B342" s="10"/>
      <c r="C342" s="539"/>
      <c r="D342" s="540"/>
      <c r="E342" s="540"/>
      <c r="F342" s="541"/>
      <c r="G342" s="116"/>
      <c r="H342" s="117"/>
      <c r="I342" s="118"/>
      <c r="J342" s="119"/>
      <c r="K342" s="116"/>
      <c r="L342" s="117"/>
      <c r="M342" s="118"/>
      <c r="N342" s="119"/>
    </row>
    <row r="343" spans="1:14" outlineLevel="2">
      <c r="B343" s="10"/>
      <c r="C343" s="539"/>
      <c r="D343" s="540"/>
      <c r="E343" s="540"/>
      <c r="F343" s="541"/>
      <c r="G343" s="116"/>
      <c r="H343" s="117"/>
      <c r="I343" s="118"/>
      <c r="J343" s="119"/>
      <c r="K343" s="116"/>
      <c r="L343" s="117"/>
      <c r="M343" s="118"/>
      <c r="N343" s="119"/>
    </row>
    <row r="344" spans="1:14" outlineLevel="2">
      <c r="B344" s="10"/>
      <c r="C344" s="542"/>
      <c r="D344" s="543"/>
      <c r="E344" s="543"/>
      <c r="F344" s="544"/>
      <c r="G344" s="116"/>
      <c r="H344" s="117"/>
      <c r="I344" s="118"/>
      <c r="J344" s="119"/>
      <c r="K344" s="116"/>
      <c r="L344" s="117"/>
      <c r="M344" s="118"/>
      <c r="N344" s="119"/>
    </row>
    <row r="345" spans="1:14" outlineLevel="2">
      <c r="B345" s="10"/>
      <c r="C345" s="10"/>
      <c r="D345" s="10"/>
      <c r="E345" s="10"/>
      <c r="F345" s="10"/>
      <c r="G345" s="116"/>
      <c r="H345" s="117"/>
      <c r="I345" s="118"/>
      <c r="J345" s="119"/>
      <c r="K345" s="116"/>
      <c r="L345" s="117"/>
      <c r="M345" s="118"/>
      <c r="N345" s="119"/>
    </row>
    <row r="346" spans="1:14" outlineLevel="1">
      <c r="B346" s="10"/>
      <c r="C346" s="10"/>
      <c r="D346" s="10"/>
      <c r="E346" s="10"/>
      <c r="F346" s="10"/>
      <c r="G346" s="116"/>
      <c r="H346" s="117"/>
      <c r="I346" s="118"/>
      <c r="J346" s="119"/>
      <c r="K346" s="116"/>
      <c r="L346" s="117"/>
      <c r="M346" s="118"/>
      <c r="N346" s="119"/>
    </row>
    <row r="347" spans="1:14" outlineLevel="1">
      <c r="B347" s="56"/>
      <c r="C347" s="56"/>
      <c r="D347" s="56"/>
      <c r="E347" s="56"/>
      <c r="F347" s="56"/>
      <c r="G347" s="116"/>
      <c r="H347" s="117"/>
      <c r="I347" s="118"/>
      <c r="J347" s="119"/>
      <c r="K347" s="116"/>
      <c r="L347" s="117"/>
      <c r="M347" s="118"/>
      <c r="N347" s="119"/>
    </row>
    <row r="348" spans="1:14" outlineLevel="1">
      <c r="A348" s="56"/>
      <c r="B348" s="57" t="s">
        <v>1159</v>
      </c>
      <c r="C348" s="57" t="s">
        <v>369</v>
      </c>
      <c r="D348" s="56"/>
      <c r="E348" s="56"/>
      <c r="F348" s="56"/>
      <c r="G348" s="116"/>
      <c r="H348" s="117"/>
      <c r="I348" s="118"/>
      <c r="J348" s="119"/>
      <c r="K348" s="116"/>
      <c r="L348" s="117"/>
      <c r="M348" s="118"/>
      <c r="N348" s="119"/>
    </row>
    <row r="349" spans="1:14" outlineLevel="1">
      <c r="B349" s="57"/>
      <c r="C349" s="57"/>
      <c r="D349" s="36" t="s">
        <v>108</v>
      </c>
      <c r="E349" s="36" t="s">
        <v>109</v>
      </c>
      <c r="F349" s="36" t="s">
        <v>110</v>
      </c>
      <c r="G349" s="116"/>
      <c r="H349" s="117"/>
      <c r="I349" s="118"/>
      <c r="J349" s="119"/>
      <c r="K349" s="116"/>
      <c r="L349" s="117"/>
      <c r="M349" s="118"/>
      <c r="N349" s="119"/>
    </row>
    <row r="350" spans="1:14" outlineLevel="1">
      <c r="B350" s="57"/>
      <c r="C350" s="57"/>
      <c r="D350" s="37"/>
      <c r="E350" s="37"/>
      <c r="F350" s="38"/>
      <c r="G350" s="116"/>
      <c r="H350" s="117"/>
      <c r="I350" s="118"/>
      <c r="J350" s="119"/>
      <c r="K350" s="116"/>
      <c r="L350" s="117"/>
      <c r="M350" s="118"/>
      <c r="N350" s="119"/>
    </row>
    <row r="351" spans="1:14" outlineLevel="2">
      <c r="B351" s="56"/>
      <c r="C351" s="56"/>
      <c r="D351" s="56"/>
      <c r="E351" s="56"/>
      <c r="F351" s="56"/>
      <c r="G351" s="116"/>
      <c r="H351" s="117"/>
      <c r="I351" s="118"/>
      <c r="J351" s="119"/>
      <c r="K351" s="116"/>
      <c r="L351" s="117"/>
      <c r="M351" s="118"/>
      <c r="N351" s="119"/>
    </row>
    <row r="352" spans="1:14" outlineLevel="2">
      <c r="B352" s="56"/>
      <c r="C352" s="536" t="s">
        <v>98</v>
      </c>
      <c r="D352" s="537"/>
      <c r="E352" s="537"/>
      <c r="F352" s="538"/>
      <c r="G352" s="116"/>
      <c r="H352" s="117"/>
      <c r="I352" s="118"/>
      <c r="J352" s="119"/>
      <c r="K352" s="116"/>
      <c r="L352" s="117"/>
      <c r="M352" s="118"/>
      <c r="N352" s="119"/>
    </row>
    <row r="353" spans="1:14" outlineLevel="2">
      <c r="B353" s="56"/>
      <c r="C353" s="539"/>
      <c r="D353" s="540"/>
      <c r="E353" s="540"/>
      <c r="F353" s="541"/>
      <c r="G353" s="116"/>
      <c r="H353" s="117"/>
      <c r="I353" s="118"/>
      <c r="J353" s="119"/>
      <c r="K353" s="116"/>
      <c r="L353" s="117"/>
      <c r="M353" s="118"/>
      <c r="N353" s="119"/>
    </row>
    <row r="354" spans="1:14" outlineLevel="2">
      <c r="B354" s="56"/>
      <c r="C354" s="539"/>
      <c r="D354" s="540"/>
      <c r="E354" s="540"/>
      <c r="F354" s="541"/>
      <c r="G354" s="116"/>
      <c r="H354" s="117"/>
      <c r="I354" s="118"/>
      <c r="J354" s="119"/>
      <c r="K354" s="116"/>
      <c r="L354" s="117"/>
      <c r="M354" s="118"/>
      <c r="N354" s="119"/>
    </row>
    <row r="355" spans="1:14" outlineLevel="2">
      <c r="B355" s="56"/>
      <c r="C355" s="542"/>
      <c r="D355" s="543"/>
      <c r="E355" s="543"/>
      <c r="F355" s="544"/>
      <c r="G355" s="116"/>
      <c r="H355" s="117"/>
      <c r="I355" s="118"/>
      <c r="J355" s="119"/>
      <c r="K355" s="116"/>
      <c r="L355" s="117"/>
      <c r="M355" s="118"/>
      <c r="N355" s="119"/>
    </row>
    <row r="356" spans="1:14" outlineLevel="2">
      <c r="B356" s="56"/>
      <c r="C356" s="74"/>
      <c r="D356" s="74"/>
      <c r="E356" s="74"/>
      <c r="F356" s="56"/>
      <c r="G356" s="116"/>
      <c r="H356" s="117"/>
      <c r="I356" s="118"/>
      <c r="J356" s="119"/>
      <c r="K356" s="116"/>
      <c r="L356" s="117"/>
      <c r="M356" s="118"/>
      <c r="N356" s="119"/>
    </row>
    <row r="357" spans="1:14" outlineLevel="1">
      <c r="B357" s="56"/>
      <c r="C357" s="56"/>
      <c r="D357" s="56"/>
      <c r="E357" s="56"/>
      <c r="F357" s="56"/>
      <c r="G357" s="116"/>
      <c r="H357" s="117"/>
      <c r="I357" s="118"/>
      <c r="J357" s="119"/>
      <c r="K357" s="116"/>
      <c r="L357" s="117"/>
      <c r="M357" s="118"/>
      <c r="N357" s="119"/>
    </row>
    <row r="358" spans="1:14" outlineLevel="1">
      <c r="B358" s="10"/>
      <c r="C358" s="10"/>
      <c r="D358" s="10"/>
      <c r="E358" s="10"/>
      <c r="F358" s="10"/>
      <c r="G358" s="116"/>
      <c r="H358" s="117"/>
      <c r="I358" s="118"/>
      <c r="J358" s="119"/>
      <c r="K358" s="116"/>
      <c r="L358" s="117"/>
      <c r="M358" s="118"/>
      <c r="N358" s="119"/>
    </row>
    <row r="359" spans="1:14" outlineLevel="1">
      <c r="A359" s="10"/>
      <c r="B359" s="46" t="s">
        <v>1161</v>
      </c>
      <c r="C359" s="46" t="s">
        <v>370</v>
      </c>
      <c r="D359" s="10"/>
      <c r="E359" s="10"/>
      <c r="F359" s="10"/>
      <c r="G359" s="116"/>
      <c r="H359" s="117"/>
      <c r="I359" s="118"/>
      <c r="J359" s="119"/>
      <c r="K359" s="116"/>
      <c r="L359" s="117"/>
      <c r="M359" s="118"/>
      <c r="N359" s="119"/>
    </row>
    <row r="360" spans="1:14" outlineLevel="1">
      <c r="B360" s="10"/>
      <c r="C360" s="46"/>
      <c r="D360" s="36" t="s">
        <v>108</v>
      </c>
      <c r="E360" s="36" t="s">
        <v>109</v>
      </c>
      <c r="F360" s="36" t="s">
        <v>110</v>
      </c>
      <c r="G360" s="116"/>
      <c r="H360" s="117"/>
      <c r="I360" s="118"/>
      <c r="J360" s="119"/>
      <c r="K360" s="116"/>
      <c r="L360" s="117"/>
      <c r="M360" s="118"/>
      <c r="N360" s="119"/>
    </row>
    <row r="361" spans="1:14" outlineLevel="1">
      <c r="B361" s="10"/>
      <c r="C361" s="46"/>
      <c r="D361" s="37"/>
      <c r="E361" s="37"/>
      <c r="F361" s="38"/>
      <c r="G361" s="116"/>
      <c r="H361" s="117"/>
      <c r="I361" s="118"/>
      <c r="J361" s="119"/>
      <c r="K361" s="116"/>
      <c r="L361" s="117"/>
      <c r="M361" s="118"/>
      <c r="N361" s="119"/>
    </row>
    <row r="362" spans="1:14" outlineLevel="2">
      <c r="B362" s="10"/>
      <c r="C362" s="10"/>
      <c r="D362" s="10"/>
      <c r="E362" s="10"/>
      <c r="F362" s="10"/>
      <c r="G362" s="116"/>
      <c r="H362" s="117"/>
      <c r="I362" s="118"/>
      <c r="J362" s="119"/>
      <c r="K362" s="116"/>
      <c r="L362" s="117"/>
      <c r="M362" s="118"/>
      <c r="N362" s="119"/>
    </row>
    <row r="363" spans="1:14" outlineLevel="2">
      <c r="B363" s="10"/>
      <c r="C363" s="536" t="s">
        <v>98</v>
      </c>
      <c r="D363" s="537"/>
      <c r="E363" s="537"/>
      <c r="F363" s="538"/>
      <c r="G363" s="116"/>
      <c r="H363" s="117"/>
      <c r="I363" s="118"/>
      <c r="J363" s="119"/>
      <c r="K363" s="116"/>
      <c r="L363" s="117"/>
      <c r="M363" s="118"/>
      <c r="N363" s="119"/>
    </row>
    <row r="364" spans="1:14" outlineLevel="2">
      <c r="B364" s="10"/>
      <c r="C364" s="539"/>
      <c r="D364" s="540"/>
      <c r="E364" s="540"/>
      <c r="F364" s="541"/>
      <c r="G364" s="116"/>
      <c r="H364" s="117"/>
      <c r="I364" s="118"/>
      <c r="J364" s="119"/>
      <c r="K364" s="116"/>
      <c r="L364" s="117"/>
      <c r="M364" s="118"/>
      <c r="N364" s="119"/>
    </row>
    <row r="365" spans="1:14" outlineLevel="2">
      <c r="B365" s="10"/>
      <c r="C365" s="539"/>
      <c r="D365" s="540"/>
      <c r="E365" s="540"/>
      <c r="F365" s="541"/>
      <c r="G365" s="116"/>
      <c r="H365" s="117"/>
      <c r="I365" s="118"/>
      <c r="J365" s="119"/>
      <c r="K365" s="116"/>
      <c r="L365" s="117"/>
      <c r="M365" s="118"/>
      <c r="N365" s="119"/>
    </row>
    <row r="366" spans="1:14" outlineLevel="2">
      <c r="B366" s="10"/>
      <c r="C366" s="542"/>
      <c r="D366" s="543"/>
      <c r="E366" s="543"/>
      <c r="F366" s="544"/>
      <c r="G366" s="116"/>
      <c r="H366" s="117"/>
      <c r="I366" s="118"/>
      <c r="J366" s="119"/>
      <c r="K366" s="116"/>
      <c r="L366" s="117"/>
      <c r="M366" s="118"/>
      <c r="N366" s="119"/>
    </row>
    <row r="367" spans="1:14" outlineLevel="2">
      <c r="B367" s="10"/>
      <c r="C367" s="75"/>
      <c r="D367" s="75"/>
      <c r="E367" s="75"/>
      <c r="F367" s="10"/>
      <c r="G367" s="116"/>
      <c r="H367" s="117"/>
      <c r="I367" s="118"/>
      <c r="J367" s="119"/>
      <c r="K367" s="116"/>
      <c r="L367" s="117"/>
      <c r="M367" s="118"/>
      <c r="N367" s="119"/>
    </row>
    <row r="368" spans="1:14" outlineLevel="1">
      <c r="B368" s="10"/>
      <c r="C368" s="75"/>
      <c r="D368" s="75"/>
      <c r="E368" s="75"/>
      <c r="F368" s="10"/>
      <c r="G368" s="116"/>
      <c r="H368" s="117"/>
      <c r="I368" s="118"/>
      <c r="J368" s="119"/>
      <c r="K368" s="116"/>
      <c r="L368" s="117"/>
      <c r="M368" s="118"/>
      <c r="N368" s="119"/>
    </row>
    <row r="369" spans="1:14" ht="16.5" customHeight="1">
      <c r="B369" s="19"/>
      <c r="C369" s="19"/>
      <c r="D369" s="19"/>
      <c r="E369" s="19"/>
      <c r="F369" s="19"/>
      <c r="G369" s="116"/>
      <c r="H369" s="117"/>
      <c r="I369" s="118"/>
      <c r="J369" s="119"/>
      <c r="K369" s="116"/>
      <c r="L369" s="117"/>
      <c r="M369" s="118"/>
      <c r="N369" s="119"/>
    </row>
    <row r="370" spans="1:14" ht="16.5" customHeight="1">
      <c r="G370" s="116"/>
      <c r="H370" s="117"/>
      <c r="I370" s="118"/>
      <c r="J370" s="119"/>
      <c r="K370" s="116"/>
      <c r="L370" s="117"/>
      <c r="M370" s="118"/>
      <c r="N370" s="119"/>
    </row>
    <row r="371" spans="1:14" ht="16.5" customHeight="1">
      <c r="A371" s="9"/>
      <c r="B371" s="79" t="s">
        <v>1162</v>
      </c>
      <c r="C371" s="9"/>
      <c r="D371" s="9"/>
      <c r="E371" s="9"/>
      <c r="F371" s="9"/>
      <c r="G371" s="116"/>
      <c r="H371" s="117"/>
      <c r="I371" s="118"/>
      <c r="J371" s="119"/>
      <c r="K371" s="116"/>
      <c r="L371" s="117"/>
      <c r="M371" s="118"/>
      <c r="N371" s="119"/>
    </row>
    <row r="372" spans="1:14" ht="16.5" customHeight="1" outlineLevel="1">
      <c r="B372" s="9"/>
      <c r="C372" s="9"/>
      <c r="D372" s="9"/>
      <c r="E372" s="9"/>
      <c r="F372" s="9"/>
      <c r="G372" s="116"/>
      <c r="H372" s="117"/>
      <c r="I372" s="118"/>
      <c r="J372" s="119"/>
      <c r="K372" s="116"/>
      <c r="L372" s="117"/>
      <c r="M372" s="118"/>
      <c r="N372" s="119"/>
    </row>
    <row r="373" spans="1:14" ht="16.5" customHeight="1" outlineLevel="1">
      <c r="B373" s="316" t="s">
        <v>654</v>
      </c>
      <c r="C373" s="318" t="s">
        <v>658</v>
      </c>
      <c r="D373" s="9"/>
      <c r="E373" s="9"/>
      <c r="F373" s="9"/>
      <c r="G373" s="116"/>
      <c r="H373" s="117"/>
      <c r="I373" s="118"/>
      <c r="J373" s="119"/>
      <c r="K373" s="116"/>
      <c r="L373" s="117"/>
      <c r="M373" s="118"/>
      <c r="N373" s="119"/>
    </row>
    <row r="374" spans="1:14" ht="16.5" customHeight="1" outlineLevel="1">
      <c r="B374" s="61"/>
      <c r="C374" s="61"/>
      <c r="D374" s="9"/>
      <c r="E374" s="9"/>
      <c r="F374" s="9"/>
      <c r="G374" s="116"/>
      <c r="H374" s="117"/>
      <c r="I374" s="118"/>
      <c r="J374" s="119"/>
      <c r="K374" s="116"/>
      <c r="L374" s="117"/>
      <c r="M374" s="118"/>
      <c r="N374" s="119"/>
    </row>
    <row r="375" spans="1:14" ht="16.5" customHeight="1" outlineLevel="1">
      <c r="B375" s="316" t="s">
        <v>655</v>
      </c>
      <c r="C375" s="318" t="s">
        <v>658</v>
      </c>
      <c r="D375" s="9"/>
      <c r="E375" s="9"/>
      <c r="F375" s="9"/>
      <c r="G375" s="116"/>
      <c r="H375" s="117"/>
      <c r="I375" s="118"/>
      <c r="J375" s="119"/>
      <c r="K375" s="116"/>
      <c r="L375" s="117"/>
      <c r="M375" s="118"/>
      <c r="N375" s="119"/>
    </row>
    <row r="376" spans="1:14" ht="16.5" customHeight="1" outlineLevel="1">
      <c r="B376" s="9"/>
      <c r="C376" s="9"/>
      <c r="D376" s="9"/>
      <c r="E376" s="9"/>
      <c r="F376" s="9"/>
      <c r="G376" s="116"/>
      <c r="H376" s="117"/>
      <c r="I376" s="118"/>
      <c r="J376" s="119"/>
      <c r="K376" s="116"/>
      <c r="L376" s="117"/>
      <c r="M376" s="118"/>
      <c r="N376" s="119"/>
    </row>
    <row r="377" spans="1:14" ht="16.5" customHeight="1" outlineLevel="1">
      <c r="B377" s="316" t="s">
        <v>85</v>
      </c>
      <c r="C377" s="318" t="s">
        <v>663</v>
      </c>
      <c r="D377" s="9"/>
      <c r="E377" s="9"/>
      <c r="F377" s="9"/>
      <c r="G377" s="116"/>
      <c r="H377" s="117"/>
      <c r="I377" s="118"/>
      <c r="J377" s="119"/>
      <c r="K377" s="116"/>
      <c r="L377" s="117"/>
      <c r="M377" s="118"/>
      <c r="N377" s="119"/>
    </row>
    <row r="378" spans="1:14" ht="16.5" customHeight="1" outlineLevel="2">
      <c r="B378" s="61"/>
      <c r="C378" s="61" t="s">
        <v>656</v>
      </c>
      <c r="D378" s="9"/>
      <c r="E378" s="9"/>
      <c r="F378" s="9"/>
      <c r="G378" s="116"/>
      <c r="H378" s="117"/>
      <c r="I378" s="118"/>
      <c r="J378" s="119"/>
      <c r="K378" s="116"/>
      <c r="L378" s="117"/>
      <c r="M378" s="118"/>
      <c r="N378" s="119"/>
    </row>
    <row r="379" spans="1:14" ht="16.5" customHeight="1" outlineLevel="2">
      <c r="B379" s="9"/>
      <c r="C379" s="9"/>
      <c r="D379" s="36" t="s">
        <v>108</v>
      </c>
      <c r="E379" s="36" t="s">
        <v>109</v>
      </c>
      <c r="F379" s="36" t="s">
        <v>110</v>
      </c>
      <c r="G379" s="116"/>
      <c r="H379" s="117"/>
      <c r="I379" s="118"/>
      <c r="J379" s="119"/>
      <c r="K379" s="116"/>
      <c r="L379" s="117"/>
      <c r="M379" s="118"/>
      <c r="N379" s="119"/>
    </row>
    <row r="380" spans="1:14" ht="16.5" customHeight="1" outlineLevel="2">
      <c r="B380" s="9"/>
      <c r="C380" s="9"/>
      <c r="D380" s="37"/>
      <c r="E380" s="37"/>
      <c r="F380" s="38"/>
      <c r="G380" s="116"/>
      <c r="H380" s="117"/>
      <c r="I380" s="118"/>
      <c r="J380" s="119"/>
      <c r="K380" s="116"/>
      <c r="L380" s="117"/>
      <c r="M380" s="118"/>
      <c r="N380" s="119"/>
    </row>
    <row r="381" spans="1:14" ht="16.5" customHeight="1" outlineLevel="2" thickBot="1">
      <c r="B381" s="9"/>
      <c r="C381" s="9" t="s">
        <v>659</v>
      </c>
      <c r="D381" s="9"/>
      <c r="E381" s="9"/>
      <c r="F381" s="9"/>
      <c r="G381" s="116"/>
      <c r="H381" s="117"/>
      <c r="I381" s="118"/>
      <c r="J381" s="119"/>
      <c r="K381" s="116"/>
      <c r="L381" s="117"/>
      <c r="M381" s="118"/>
      <c r="N381" s="119"/>
    </row>
    <row r="382" spans="1:14" ht="16.5" customHeight="1" outlineLevel="2">
      <c r="B382" s="746" t="str">
        <f>IF('Datos ensayos LUM.'!CF27&lt;&gt;1,"MARCAR UNA DE LAS OPCIONES","")</f>
        <v>MARCAR UNA DE LAS OPCIONES</v>
      </c>
      <c r="C382" s="9"/>
      <c r="D382" s="9"/>
      <c r="E382" s="756" t="s">
        <v>661</v>
      </c>
      <c r="F382" s="314" t="s">
        <v>662</v>
      </c>
      <c r="G382" s="194"/>
      <c r="H382" s="194"/>
      <c r="I382" s="194"/>
      <c r="J382" s="194"/>
      <c r="K382" s="194"/>
      <c r="L382" s="194"/>
      <c r="M382" s="194"/>
      <c r="N382" s="195"/>
    </row>
    <row r="383" spans="1:14" ht="16.5" customHeight="1" outlineLevel="2" thickBot="1">
      <c r="B383" s="746"/>
      <c r="C383" s="9"/>
      <c r="D383" s="9"/>
      <c r="E383" s="757"/>
      <c r="F383" s="317" t="s">
        <v>660</v>
      </c>
      <c r="G383" s="110" t="str">
        <f>IF('Datos ensayos LUM.'!$CF$23&lt;&gt;TRUE,'Datos ensayos LUM.'!CF29,"")</f>
        <v/>
      </c>
      <c r="H383" s="107" t="str">
        <f>IF('Datos ensayos LUM.'!$CF$23&lt;&gt;TRUE,'Datos ensayos LUM.'!CG29,"")</f>
        <v/>
      </c>
      <c r="I383" s="108" t="str">
        <f>IF('Datos ensayos LUM.'!$CF$23&lt;&gt;TRUE,'Datos ensayos LUM.'!CH29,"")</f>
        <v/>
      </c>
      <c r="J383" s="109" t="str">
        <f>IF('Datos ensayos LUM.'!$CF$23&lt;&gt;TRUE,'Datos ensayos LUM.'!CI29,"")</f>
        <v/>
      </c>
      <c r="K383" s="110" t="str">
        <f>IF('Datos ensayos LUM.'!$CF$23&lt;&gt;TRUE,'Datos ensayos LUM.'!CJ29,"")</f>
        <v/>
      </c>
      <c r="L383" s="107" t="str">
        <f>IF('Datos ensayos LUM.'!$CF$23&lt;&gt;TRUE,'Datos ensayos LUM.'!CK29,"")</f>
        <v/>
      </c>
      <c r="M383" s="108" t="str">
        <f>IF('Datos ensayos LUM.'!$CF$23&lt;&gt;TRUE,'Datos ensayos LUM.'!CL29,"")</f>
        <v/>
      </c>
      <c r="N383" s="109" t="str">
        <f>IF('Datos ensayos LUM.'!$CF$23&lt;&gt;TRUE,'Datos ensayos LUM.'!CM29,"")</f>
        <v/>
      </c>
    </row>
    <row r="384" spans="1:14" ht="16.5" customHeight="1" outlineLevel="2">
      <c r="B384" s="746"/>
      <c r="C384" s="9"/>
      <c r="D384" s="9"/>
      <c r="E384" s="9"/>
      <c r="F384" s="9"/>
      <c r="G384" s="116"/>
      <c r="H384" s="117"/>
      <c r="I384" s="118"/>
      <c r="J384" s="119"/>
      <c r="K384" s="116"/>
      <c r="L384" s="117"/>
      <c r="M384" s="118"/>
      <c r="N384" s="119"/>
    </row>
    <row r="385" spans="2:14" ht="16.5" customHeight="1" outlineLevel="2">
      <c r="B385" s="9"/>
      <c r="C385" s="9"/>
      <c r="D385" s="758" t="s">
        <v>111</v>
      </c>
      <c r="E385" s="758"/>
      <c r="F385" s="758"/>
      <c r="G385" s="116"/>
      <c r="H385" s="117"/>
      <c r="I385" s="118"/>
      <c r="J385" s="119"/>
      <c r="K385" s="116"/>
      <c r="L385" s="117"/>
      <c r="M385" s="118"/>
      <c r="N385" s="119"/>
    </row>
    <row r="386" spans="2:14" ht="16.5" customHeight="1" outlineLevel="2">
      <c r="B386" s="9"/>
      <c r="C386" s="9"/>
      <c r="D386" s="758"/>
      <c r="E386" s="758"/>
      <c r="F386" s="758"/>
      <c r="G386" s="116"/>
      <c r="H386" s="117"/>
      <c r="I386" s="118"/>
      <c r="J386" s="119"/>
      <c r="K386" s="116"/>
      <c r="L386" s="117"/>
      <c r="M386" s="118"/>
      <c r="N386" s="119"/>
    </row>
    <row r="387" spans="2:14" ht="16.5" customHeight="1" outlineLevel="2">
      <c r="B387" s="9"/>
      <c r="C387" s="9"/>
      <c r="D387" s="9"/>
      <c r="E387" s="9"/>
      <c r="F387" s="9"/>
      <c r="G387" s="116"/>
      <c r="H387" s="117"/>
      <c r="I387" s="118"/>
      <c r="J387" s="119"/>
      <c r="K387" s="116"/>
      <c r="L387" s="117"/>
      <c r="M387" s="118"/>
      <c r="N387" s="119"/>
    </row>
    <row r="388" spans="2:14" ht="16.5" customHeight="1" outlineLevel="2">
      <c r="B388" s="9"/>
      <c r="C388" s="61" t="s">
        <v>664</v>
      </c>
      <c r="D388" s="9"/>
      <c r="E388" s="9"/>
      <c r="F388" s="9"/>
      <c r="G388" s="116"/>
      <c r="H388" s="117"/>
      <c r="I388" s="118"/>
      <c r="J388" s="119"/>
      <c r="K388" s="116"/>
      <c r="L388" s="117"/>
      <c r="M388" s="118"/>
      <c r="N388" s="119"/>
    </row>
    <row r="389" spans="2:14" ht="16.5" customHeight="1" outlineLevel="2">
      <c r="B389" s="9"/>
      <c r="C389" s="9"/>
      <c r="D389" s="36" t="s">
        <v>108</v>
      </c>
      <c r="E389" s="36" t="s">
        <v>109</v>
      </c>
      <c r="F389" s="36" t="s">
        <v>110</v>
      </c>
      <c r="G389" s="116"/>
      <c r="H389" s="117"/>
      <c r="I389" s="118"/>
      <c r="J389" s="119"/>
      <c r="K389" s="116"/>
      <c r="L389" s="117"/>
      <c r="M389" s="118"/>
      <c r="N389" s="119"/>
    </row>
    <row r="390" spans="2:14" ht="16.5" customHeight="1" outlineLevel="2">
      <c r="B390" s="9"/>
      <c r="C390" s="9"/>
      <c r="D390" s="37"/>
      <c r="E390" s="37"/>
      <c r="F390" s="38"/>
      <c r="G390" s="116"/>
      <c r="H390" s="117"/>
      <c r="I390" s="118"/>
      <c r="J390" s="119"/>
      <c r="K390" s="116"/>
      <c r="L390" s="117"/>
      <c r="M390" s="118"/>
      <c r="N390" s="119"/>
    </row>
    <row r="391" spans="2:14" ht="16.5" customHeight="1" outlineLevel="2">
      <c r="B391" s="9"/>
      <c r="C391" s="9"/>
      <c r="D391" s="758" t="s">
        <v>111</v>
      </c>
      <c r="E391" s="758"/>
      <c r="F391" s="758"/>
      <c r="G391" s="116"/>
      <c r="H391" s="117"/>
      <c r="I391" s="118"/>
      <c r="J391" s="119"/>
      <c r="K391" s="116"/>
      <c r="L391" s="117"/>
      <c r="M391" s="118"/>
      <c r="N391" s="119"/>
    </row>
    <row r="392" spans="2:14" ht="16.5" customHeight="1" outlineLevel="2">
      <c r="B392" s="9"/>
      <c r="C392" s="9"/>
      <c r="D392" s="758"/>
      <c r="E392" s="758"/>
      <c r="F392" s="758"/>
      <c r="G392" s="116"/>
      <c r="H392" s="117"/>
      <c r="I392" s="118"/>
      <c r="J392" s="119"/>
      <c r="K392" s="116"/>
      <c r="L392" s="117"/>
      <c r="M392" s="118"/>
      <c r="N392" s="119"/>
    </row>
    <row r="393" spans="2:14" ht="16.5" customHeight="1" outlineLevel="2">
      <c r="B393" s="9"/>
      <c r="C393" s="9"/>
      <c r="D393" s="9"/>
      <c r="E393" s="9"/>
      <c r="F393" s="9"/>
      <c r="G393" s="116"/>
      <c r="H393" s="117"/>
      <c r="I393" s="118"/>
      <c r="J393" s="119"/>
      <c r="K393" s="116"/>
      <c r="L393" s="117"/>
      <c r="M393" s="118"/>
      <c r="N393" s="119"/>
    </row>
    <row r="394" spans="2:14" ht="16.5" customHeight="1" outlineLevel="2">
      <c r="B394" s="9"/>
      <c r="C394" s="61" t="s">
        <v>665</v>
      </c>
      <c r="D394" s="9"/>
      <c r="E394" s="9"/>
      <c r="F394" s="9"/>
      <c r="G394" s="116"/>
      <c r="H394" s="117"/>
      <c r="I394" s="118"/>
      <c r="J394" s="119"/>
      <c r="K394" s="116"/>
      <c r="L394" s="117"/>
      <c r="M394" s="118"/>
      <c r="N394" s="119"/>
    </row>
    <row r="395" spans="2:14" ht="16.5" customHeight="1" outlineLevel="2">
      <c r="B395" s="9"/>
      <c r="C395" s="9"/>
      <c r="D395" s="36" t="s">
        <v>108</v>
      </c>
      <c r="E395" s="36" t="s">
        <v>109</v>
      </c>
      <c r="F395" s="36" t="s">
        <v>110</v>
      </c>
      <c r="G395" s="116"/>
      <c r="H395" s="117"/>
      <c r="I395" s="118"/>
      <c r="J395" s="119"/>
      <c r="K395" s="116"/>
      <c r="L395" s="117"/>
      <c r="M395" s="118"/>
      <c r="N395" s="119"/>
    </row>
    <row r="396" spans="2:14" ht="16.5" customHeight="1" outlineLevel="2">
      <c r="B396" s="9"/>
      <c r="C396" s="9"/>
      <c r="D396" s="37"/>
      <c r="E396" s="37"/>
      <c r="F396" s="38"/>
      <c r="G396" s="116"/>
      <c r="H396" s="117"/>
      <c r="I396" s="118"/>
      <c r="J396" s="119"/>
      <c r="K396" s="116"/>
      <c r="L396" s="117"/>
      <c r="M396" s="118"/>
      <c r="N396" s="119"/>
    </row>
    <row r="397" spans="2:14" ht="16.5" customHeight="1" outlineLevel="2">
      <c r="B397" s="9"/>
      <c r="C397" s="9"/>
      <c r="D397" s="758" t="s">
        <v>111</v>
      </c>
      <c r="E397" s="758"/>
      <c r="F397" s="758"/>
      <c r="G397" s="116"/>
      <c r="H397" s="117"/>
      <c r="I397" s="118"/>
      <c r="J397" s="119"/>
      <c r="K397" s="116"/>
      <c r="L397" s="117"/>
      <c r="M397" s="118"/>
      <c r="N397" s="119"/>
    </row>
    <row r="398" spans="2:14" ht="16.5" customHeight="1" outlineLevel="2">
      <c r="B398" s="9"/>
      <c r="C398" s="9"/>
      <c r="D398" s="758"/>
      <c r="E398" s="758"/>
      <c r="F398" s="758"/>
      <c r="G398" s="116"/>
      <c r="H398" s="117"/>
      <c r="I398" s="118"/>
      <c r="J398" s="119"/>
      <c r="K398" s="116"/>
      <c r="L398" s="117"/>
      <c r="M398" s="118"/>
      <c r="N398" s="119"/>
    </row>
    <row r="399" spans="2:14" ht="16.5" customHeight="1" outlineLevel="2">
      <c r="B399" s="9"/>
      <c r="C399" s="9"/>
      <c r="D399" s="9"/>
      <c r="E399" s="9"/>
      <c r="F399" s="9"/>
      <c r="G399" s="116"/>
      <c r="H399" s="117"/>
      <c r="I399" s="118"/>
      <c r="J399" s="119"/>
      <c r="K399" s="116"/>
      <c r="L399" s="117"/>
      <c r="M399" s="118"/>
      <c r="N399" s="119"/>
    </row>
    <row r="400" spans="2:14" ht="16.5" customHeight="1" outlineLevel="2">
      <c r="B400" s="9"/>
      <c r="C400" s="61" t="s">
        <v>657</v>
      </c>
      <c r="D400" s="61"/>
      <c r="E400" s="61"/>
      <c r="F400" s="61"/>
      <c r="G400" s="116"/>
      <c r="H400" s="117"/>
      <c r="I400" s="118"/>
      <c r="J400" s="119"/>
      <c r="K400" s="116"/>
      <c r="L400" s="117"/>
      <c r="M400" s="118"/>
      <c r="N400" s="119"/>
    </row>
    <row r="401" spans="2:14" ht="16.5" customHeight="1" outlineLevel="2">
      <c r="B401" s="9"/>
      <c r="C401" s="9"/>
      <c r="D401" s="36" t="s">
        <v>108</v>
      </c>
      <c r="E401" s="36" t="s">
        <v>109</v>
      </c>
      <c r="F401" s="36" t="s">
        <v>110</v>
      </c>
      <c r="G401" s="116"/>
      <c r="H401" s="117"/>
      <c r="I401" s="118"/>
      <c r="J401" s="119"/>
      <c r="K401" s="116"/>
      <c r="L401" s="117"/>
      <c r="M401" s="118"/>
      <c r="N401" s="119"/>
    </row>
    <row r="402" spans="2:14" ht="16.5" customHeight="1" outlineLevel="2">
      <c r="B402" s="9"/>
      <c r="C402" s="9"/>
      <c r="D402" s="37"/>
      <c r="E402" s="37"/>
      <c r="F402" s="38"/>
      <c r="G402" s="116"/>
      <c r="H402" s="117"/>
      <c r="I402" s="118"/>
      <c r="J402" s="119"/>
      <c r="K402" s="116"/>
      <c r="L402" s="117"/>
      <c r="M402" s="118"/>
      <c r="N402" s="119"/>
    </row>
    <row r="403" spans="2:14" ht="16.5" customHeight="1" outlineLevel="2">
      <c r="B403" s="9"/>
      <c r="C403" s="9"/>
      <c r="D403" s="766" t="s">
        <v>111</v>
      </c>
      <c r="E403" s="766"/>
      <c r="F403" s="766"/>
      <c r="G403" s="116"/>
      <c r="H403" s="117"/>
      <c r="I403" s="118"/>
      <c r="J403" s="119"/>
      <c r="K403" s="116"/>
      <c r="L403" s="117"/>
      <c r="M403" s="118"/>
      <c r="N403" s="119"/>
    </row>
    <row r="404" spans="2:14" ht="16.5" customHeight="1" outlineLevel="2">
      <c r="B404" s="9"/>
      <c r="C404" s="9"/>
      <c r="D404" s="758"/>
      <c r="E404" s="758"/>
      <c r="F404" s="758"/>
      <c r="G404" s="116"/>
      <c r="H404" s="117"/>
      <c r="I404" s="118"/>
      <c r="J404" s="119"/>
      <c r="K404" s="116"/>
      <c r="L404" s="117"/>
      <c r="M404" s="118"/>
      <c r="N404" s="119"/>
    </row>
    <row r="405" spans="2:14" ht="16.5" customHeight="1" outlineLevel="2">
      <c r="B405" s="9"/>
      <c r="C405" s="536" t="s">
        <v>98</v>
      </c>
      <c r="D405" s="537"/>
      <c r="E405" s="537"/>
      <c r="F405" s="538"/>
      <c r="G405" s="116"/>
      <c r="H405" s="117"/>
      <c r="I405" s="118"/>
      <c r="J405" s="119"/>
      <c r="K405" s="116"/>
      <c r="L405" s="117"/>
      <c r="M405" s="118"/>
      <c r="N405" s="119"/>
    </row>
    <row r="406" spans="2:14" ht="16.5" customHeight="1" outlineLevel="2">
      <c r="B406" s="9"/>
      <c r="C406" s="539"/>
      <c r="D406" s="540"/>
      <c r="E406" s="540"/>
      <c r="F406" s="541"/>
      <c r="G406" s="116"/>
      <c r="H406" s="117"/>
      <c r="I406" s="118"/>
      <c r="J406" s="119"/>
      <c r="K406" s="116"/>
      <c r="L406" s="117"/>
      <c r="M406" s="118"/>
      <c r="N406" s="119"/>
    </row>
    <row r="407" spans="2:14" ht="16.5" customHeight="1" outlineLevel="2">
      <c r="B407" s="9"/>
      <c r="C407" s="539"/>
      <c r="D407" s="540"/>
      <c r="E407" s="540"/>
      <c r="F407" s="541"/>
      <c r="G407" s="116"/>
      <c r="H407" s="117"/>
      <c r="I407" s="118"/>
      <c r="J407" s="119"/>
      <c r="K407" s="116"/>
      <c r="L407" s="117"/>
      <c r="M407" s="118"/>
      <c r="N407" s="119"/>
    </row>
    <row r="408" spans="2:14" ht="16.5" customHeight="1" outlineLevel="2">
      <c r="B408" s="9"/>
      <c r="C408" s="542"/>
      <c r="D408" s="543"/>
      <c r="E408" s="543"/>
      <c r="F408" s="544"/>
      <c r="G408" s="116"/>
      <c r="H408" s="117"/>
      <c r="I408" s="118"/>
      <c r="J408" s="119"/>
      <c r="K408" s="116"/>
      <c r="L408" s="117"/>
      <c r="M408" s="118"/>
      <c r="N408" s="119"/>
    </row>
    <row r="409" spans="2:14" ht="16.5" customHeight="1" outlineLevel="1">
      <c r="B409" s="9"/>
      <c r="C409" s="9"/>
      <c r="D409" s="9"/>
      <c r="E409" s="9"/>
      <c r="F409" s="9"/>
      <c r="G409" s="116"/>
      <c r="H409" s="117"/>
      <c r="I409" s="118"/>
      <c r="J409" s="119"/>
      <c r="K409" s="116"/>
      <c r="L409" s="117"/>
      <c r="M409" s="118"/>
      <c r="N409" s="119"/>
    </row>
    <row r="410" spans="2:14" ht="16.5" customHeight="1" outlineLevel="1">
      <c r="B410" s="316" t="s">
        <v>694</v>
      </c>
      <c r="C410" s="318" t="s">
        <v>663</v>
      </c>
      <c r="D410" s="316"/>
      <c r="E410" s="316"/>
      <c r="F410" s="316"/>
      <c r="G410" s="116"/>
      <c r="H410" s="117"/>
      <c r="I410" s="118"/>
      <c r="J410" s="119"/>
      <c r="K410" s="116"/>
      <c r="L410" s="117"/>
      <c r="M410" s="118"/>
      <c r="N410" s="119"/>
    </row>
    <row r="411" spans="2:14" ht="16.5" customHeight="1" outlineLevel="2">
      <c r="B411" s="9"/>
      <c r="C411" s="61" t="s">
        <v>695</v>
      </c>
      <c r="D411" s="61"/>
      <c r="E411" s="61"/>
      <c r="F411" s="61"/>
      <c r="G411" s="116"/>
      <c r="H411" s="117"/>
      <c r="I411" s="118"/>
      <c r="J411" s="119"/>
      <c r="K411" s="116"/>
      <c r="L411" s="117"/>
      <c r="M411" s="118"/>
      <c r="N411" s="119"/>
    </row>
    <row r="412" spans="2:14" ht="16.5" customHeight="1" outlineLevel="2">
      <c r="B412" s="9"/>
      <c r="C412" s="9"/>
      <c r="D412" s="36" t="s">
        <v>108</v>
      </c>
      <c r="E412" s="36" t="s">
        <v>109</v>
      </c>
      <c r="F412" s="36" t="s">
        <v>110</v>
      </c>
      <c r="G412" s="116"/>
      <c r="H412" s="117"/>
      <c r="I412" s="118"/>
      <c r="J412" s="119"/>
      <c r="K412" s="116"/>
      <c r="L412" s="117"/>
      <c r="M412" s="118"/>
      <c r="N412" s="119"/>
    </row>
    <row r="413" spans="2:14" ht="16.5" customHeight="1" outlineLevel="2">
      <c r="B413" s="9"/>
      <c r="C413" s="9"/>
      <c r="D413" s="37"/>
      <c r="E413" s="37"/>
      <c r="F413" s="38"/>
      <c r="G413" s="116"/>
      <c r="H413" s="117"/>
      <c r="I413" s="118"/>
      <c r="J413" s="119"/>
      <c r="K413" s="116"/>
      <c r="L413" s="117"/>
      <c r="M413" s="118"/>
      <c r="N413" s="119"/>
    </row>
    <row r="414" spans="2:14" ht="16.5" customHeight="1" outlineLevel="2">
      <c r="B414" s="9"/>
      <c r="C414" s="9"/>
      <c r="D414" s="766" t="s">
        <v>111</v>
      </c>
      <c r="E414" s="766"/>
      <c r="F414" s="766"/>
      <c r="G414" s="116"/>
      <c r="H414" s="117"/>
      <c r="I414" s="118"/>
      <c r="J414" s="119"/>
      <c r="K414" s="116"/>
      <c r="L414" s="117"/>
      <c r="M414" s="118"/>
      <c r="N414" s="119"/>
    </row>
    <row r="415" spans="2:14" ht="16.5" customHeight="1" outlineLevel="2">
      <c r="B415" s="9"/>
      <c r="C415" s="9"/>
      <c r="D415" s="758"/>
      <c r="E415" s="758"/>
      <c r="F415" s="758"/>
      <c r="G415" s="116"/>
      <c r="H415" s="117"/>
      <c r="I415" s="118"/>
      <c r="J415" s="119"/>
      <c r="K415" s="116"/>
      <c r="L415" s="117"/>
      <c r="M415" s="118"/>
      <c r="N415" s="119"/>
    </row>
    <row r="416" spans="2:14" ht="16.5" customHeight="1" outlineLevel="2">
      <c r="B416" s="9"/>
      <c r="C416" s="536" t="s">
        <v>98</v>
      </c>
      <c r="D416" s="537"/>
      <c r="E416" s="537"/>
      <c r="F416" s="538"/>
      <c r="G416" s="116"/>
      <c r="H416" s="117"/>
      <c r="I416" s="118"/>
      <c r="J416" s="119"/>
      <c r="K416" s="116"/>
      <c r="L416" s="117"/>
      <c r="M416" s="118"/>
      <c r="N416" s="119"/>
    </row>
    <row r="417" spans="2:14" ht="16.5" customHeight="1" outlineLevel="2">
      <c r="B417" s="9"/>
      <c r="C417" s="539"/>
      <c r="D417" s="540"/>
      <c r="E417" s="540"/>
      <c r="F417" s="541"/>
      <c r="G417" s="116"/>
      <c r="H417" s="117"/>
      <c r="I417" s="118"/>
      <c r="J417" s="119"/>
      <c r="K417" s="116"/>
      <c r="L417" s="117"/>
      <c r="M417" s="118"/>
      <c r="N417" s="119"/>
    </row>
    <row r="418" spans="2:14" ht="16.5" customHeight="1" outlineLevel="2">
      <c r="B418" s="9"/>
      <c r="C418" s="539"/>
      <c r="D418" s="540"/>
      <c r="E418" s="540"/>
      <c r="F418" s="541"/>
      <c r="G418" s="116"/>
      <c r="H418" s="117"/>
      <c r="I418" s="118"/>
      <c r="J418" s="119"/>
      <c r="K418" s="116"/>
      <c r="L418" s="117"/>
      <c r="M418" s="118"/>
      <c r="N418" s="119"/>
    </row>
    <row r="419" spans="2:14" ht="16.5" customHeight="1" outlineLevel="2">
      <c r="B419" s="9"/>
      <c r="C419" s="542"/>
      <c r="D419" s="543"/>
      <c r="E419" s="543"/>
      <c r="F419" s="544"/>
      <c r="G419" s="116"/>
      <c r="H419" s="117"/>
      <c r="I419" s="118"/>
      <c r="J419" s="119"/>
      <c r="K419" s="116"/>
      <c r="L419" s="117"/>
      <c r="M419" s="118"/>
      <c r="N419" s="119"/>
    </row>
    <row r="420" spans="2:14" ht="16.5" customHeight="1" outlineLevel="2">
      <c r="B420" s="9"/>
      <c r="C420" s="9"/>
      <c r="D420" s="9"/>
      <c r="E420" s="9"/>
      <c r="F420" s="9"/>
      <c r="G420" s="116"/>
      <c r="H420" s="117"/>
      <c r="I420" s="118"/>
      <c r="J420" s="119"/>
      <c r="K420" s="116"/>
      <c r="L420" s="117"/>
      <c r="M420" s="118"/>
      <c r="N420" s="119"/>
    </row>
    <row r="421" spans="2:14" ht="16.5" customHeight="1" outlineLevel="1">
      <c r="B421" s="9"/>
      <c r="C421" s="9"/>
      <c r="D421" s="9"/>
      <c r="E421" s="9"/>
      <c r="F421" s="9"/>
      <c r="G421" s="116"/>
      <c r="H421" s="117"/>
      <c r="I421" s="118"/>
      <c r="J421" s="119"/>
      <c r="K421" s="116"/>
      <c r="L421" s="117"/>
      <c r="M421" s="118"/>
      <c r="N421" s="119"/>
    </row>
    <row r="422" spans="2:14" ht="16.5" customHeight="1" outlineLevel="1">
      <c r="B422" s="316" t="s">
        <v>698</v>
      </c>
      <c r="C422" s="318" t="s">
        <v>663</v>
      </c>
      <c r="D422" s="316"/>
      <c r="E422" s="316"/>
      <c r="F422" s="316"/>
      <c r="G422" s="116"/>
      <c r="H422" s="117"/>
      <c r="I422" s="118"/>
      <c r="J422" s="119"/>
      <c r="K422" s="116"/>
      <c r="L422" s="117"/>
      <c r="M422" s="118"/>
      <c r="N422" s="119"/>
    </row>
    <row r="423" spans="2:14" ht="16.5" customHeight="1" outlineLevel="2">
      <c r="B423" s="9"/>
      <c r="C423" s="61" t="s">
        <v>700</v>
      </c>
      <c r="D423" s="9"/>
      <c r="E423" s="9"/>
      <c r="F423" s="9"/>
      <c r="G423" s="116"/>
      <c r="H423" s="117"/>
      <c r="I423" s="118"/>
      <c r="J423" s="119"/>
      <c r="K423" s="116"/>
      <c r="L423" s="117"/>
      <c r="M423" s="118"/>
      <c r="N423" s="119"/>
    </row>
    <row r="424" spans="2:14" ht="16.5" customHeight="1" outlineLevel="2">
      <c r="B424" s="9"/>
      <c r="C424" s="9"/>
      <c r="D424" s="36" t="s">
        <v>108</v>
      </c>
      <c r="E424" s="36" t="s">
        <v>109</v>
      </c>
      <c r="F424" s="36" t="s">
        <v>110</v>
      </c>
      <c r="G424" s="116"/>
      <c r="H424" s="117"/>
      <c r="I424" s="118"/>
      <c r="J424" s="119"/>
      <c r="K424" s="116"/>
      <c r="L424" s="117"/>
      <c r="M424" s="118"/>
      <c r="N424" s="119"/>
    </row>
    <row r="425" spans="2:14" ht="16.5" customHeight="1" outlineLevel="2">
      <c r="B425" s="9"/>
      <c r="C425" s="9"/>
      <c r="D425" s="37"/>
      <c r="E425" s="37"/>
      <c r="F425" s="38"/>
      <c r="G425" s="116"/>
      <c r="H425" s="117"/>
      <c r="I425" s="118"/>
      <c r="J425" s="119"/>
      <c r="K425" s="116"/>
      <c r="L425" s="117"/>
      <c r="M425" s="118"/>
      <c r="N425" s="119"/>
    </row>
    <row r="426" spans="2:14" ht="16.5" customHeight="1" outlineLevel="2" thickBot="1">
      <c r="B426" s="9"/>
      <c r="C426" s="9"/>
      <c r="D426" s="9"/>
      <c r="E426" s="9"/>
      <c r="F426" s="9"/>
      <c r="G426" s="116"/>
      <c r="H426" s="117"/>
      <c r="I426" s="118"/>
      <c r="J426" s="119"/>
      <c r="K426" s="116"/>
      <c r="L426" s="117"/>
      <c r="M426" s="118"/>
      <c r="N426" s="119"/>
    </row>
    <row r="427" spans="2:14" ht="16.5" customHeight="1" outlineLevel="2">
      <c r="B427" s="9"/>
      <c r="C427" s="9"/>
      <c r="D427" s="9"/>
      <c r="E427" s="756" t="s">
        <v>661</v>
      </c>
      <c r="F427" s="314" t="s">
        <v>662</v>
      </c>
      <c r="G427" s="194"/>
      <c r="H427" s="194"/>
      <c r="I427" s="194"/>
      <c r="J427" s="194"/>
      <c r="K427" s="194"/>
      <c r="L427" s="194"/>
      <c r="M427" s="194"/>
      <c r="N427" s="195"/>
    </row>
    <row r="428" spans="2:14" ht="16.5" customHeight="1" outlineLevel="2" thickBot="1">
      <c r="B428" s="9"/>
      <c r="C428" s="9"/>
      <c r="D428" s="9"/>
      <c r="E428" s="757"/>
      <c r="F428" s="317" t="s">
        <v>660</v>
      </c>
      <c r="G428" s="200">
        <f>G427*2400</f>
        <v>0</v>
      </c>
      <c r="H428" s="200">
        <f t="shared" ref="H428:N428" si="0">H427*2400</f>
        <v>0</v>
      </c>
      <c r="I428" s="200">
        <f t="shared" si="0"/>
        <v>0</v>
      </c>
      <c r="J428" s="200">
        <f t="shared" si="0"/>
        <v>0</v>
      </c>
      <c r="K428" s="200">
        <f t="shared" si="0"/>
        <v>0</v>
      </c>
      <c r="L428" s="200">
        <f t="shared" si="0"/>
        <v>0</v>
      </c>
      <c r="M428" s="200">
        <f t="shared" si="0"/>
        <v>0</v>
      </c>
      <c r="N428" s="201">
        <f t="shared" si="0"/>
        <v>0</v>
      </c>
    </row>
    <row r="429" spans="2:14" ht="16.5" customHeight="1" outlineLevel="2">
      <c r="B429" s="9"/>
      <c r="C429" s="9"/>
      <c r="D429" s="9"/>
      <c r="E429" s="9"/>
      <c r="F429" s="9"/>
      <c r="G429" s="116"/>
      <c r="H429" s="117"/>
      <c r="I429" s="118"/>
      <c r="J429" s="119"/>
      <c r="K429" s="116"/>
      <c r="L429" s="117"/>
      <c r="M429" s="118"/>
      <c r="N429" s="119"/>
    </row>
    <row r="430" spans="2:14" ht="16.5" customHeight="1" outlineLevel="2">
      <c r="B430" s="9"/>
      <c r="C430" s="61" t="s">
        <v>705</v>
      </c>
      <c r="D430" s="9"/>
      <c r="E430" s="9"/>
      <c r="F430" s="9"/>
      <c r="G430" s="116"/>
      <c r="H430" s="117"/>
      <c r="I430" s="118"/>
      <c r="J430" s="119"/>
      <c r="K430" s="116"/>
      <c r="L430" s="117"/>
      <c r="M430" s="118"/>
      <c r="N430" s="119"/>
    </row>
    <row r="431" spans="2:14" ht="16.5" customHeight="1" outlineLevel="2">
      <c r="B431" s="9"/>
      <c r="C431" s="9"/>
      <c r="D431" s="36" t="s">
        <v>108</v>
      </c>
      <c r="E431" s="36" t="s">
        <v>109</v>
      </c>
      <c r="F431" s="36" t="s">
        <v>110</v>
      </c>
      <c r="G431" s="116"/>
      <c r="H431" s="117"/>
      <c r="I431" s="118"/>
      <c r="J431" s="119"/>
      <c r="K431" s="116"/>
      <c r="L431" s="117"/>
      <c r="M431" s="118"/>
      <c r="N431" s="119"/>
    </row>
    <row r="432" spans="2:14" ht="16.5" customHeight="1" outlineLevel="2">
      <c r="B432" s="9"/>
      <c r="C432" s="9"/>
      <c r="D432" s="37"/>
      <c r="E432" s="37"/>
      <c r="F432" s="38"/>
      <c r="G432" s="116"/>
      <c r="H432" s="117"/>
      <c r="I432" s="118"/>
      <c r="J432" s="119"/>
      <c r="K432" s="116"/>
      <c r="L432" s="117"/>
      <c r="M432" s="118"/>
      <c r="N432" s="119"/>
    </row>
    <row r="433" spans="2:14" ht="16.5" customHeight="1" outlineLevel="2">
      <c r="B433" s="9"/>
      <c r="C433" s="9"/>
      <c r="D433" s="758" t="s">
        <v>111</v>
      </c>
      <c r="E433" s="758"/>
      <c r="F433" s="758"/>
      <c r="G433" s="116"/>
      <c r="H433" s="117"/>
      <c r="I433" s="118"/>
      <c r="J433" s="119"/>
      <c r="K433" s="116"/>
      <c r="L433" s="117"/>
      <c r="M433" s="118"/>
      <c r="N433" s="119"/>
    </row>
    <row r="434" spans="2:14" ht="16.5" customHeight="1" outlineLevel="2">
      <c r="B434" s="9"/>
      <c r="C434" s="9"/>
      <c r="D434" s="758"/>
      <c r="E434" s="758"/>
      <c r="F434" s="758"/>
      <c r="G434" s="116"/>
      <c r="H434" s="117"/>
      <c r="I434" s="118"/>
      <c r="J434" s="119"/>
      <c r="K434" s="116"/>
      <c r="L434" s="117"/>
      <c r="M434" s="118"/>
      <c r="N434" s="119"/>
    </row>
    <row r="435" spans="2:14" ht="16.5" customHeight="1" outlineLevel="2">
      <c r="B435" s="9"/>
      <c r="C435" s="9"/>
      <c r="D435" s="9"/>
      <c r="E435" s="9"/>
      <c r="F435" s="9"/>
      <c r="G435" s="116"/>
      <c r="H435" s="117"/>
      <c r="I435" s="118"/>
      <c r="J435" s="119"/>
      <c r="K435" s="116"/>
      <c r="L435" s="117"/>
      <c r="M435" s="118"/>
      <c r="N435" s="119"/>
    </row>
    <row r="436" spans="2:14" ht="16.5" customHeight="1" outlineLevel="2">
      <c r="B436" s="9"/>
      <c r="C436" s="61" t="s">
        <v>706</v>
      </c>
      <c r="D436" s="9"/>
      <c r="E436" s="9"/>
      <c r="F436" s="9"/>
      <c r="G436" s="116"/>
      <c r="H436" s="117"/>
      <c r="I436" s="118"/>
      <c r="J436" s="119"/>
      <c r="K436" s="116"/>
      <c r="L436" s="117"/>
      <c r="M436" s="118"/>
      <c r="N436" s="119"/>
    </row>
    <row r="437" spans="2:14" ht="16.5" customHeight="1" outlineLevel="2">
      <c r="B437" s="9"/>
      <c r="C437" s="9"/>
      <c r="D437" s="36" t="s">
        <v>108</v>
      </c>
      <c r="E437" s="36" t="s">
        <v>109</v>
      </c>
      <c r="F437" s="36" t="s">
        <v>110</v>
      </c>
      <c r="G437" s="116"/>
      <c r="H437" s="117"/>
      <c r="I437" s="118"/>
      <c r="J437" s="119"/>
      <c r="K437" s="116"/>
      <c r="L437" s="117"/>
      <c r="M437" s="118"/>
      <c r="N437" s="119"/>
    </row>
    <row r="438" spans="2:14" ht="16.5" customHeight="1" outlineLevel="2">
      <c r="B438" s="9"/>
      <c r="C438" s="9"/>
      <c r="D438" s="37"/>
      <c r="E438" s="37"/>
      <c r="F438" s="38"/>
      <c r="G438" s="116"/>
      <c r="H438" s="117"/>
      <c r="I438" s="118"/>
      <c r="J438" s="119"/>
      <c r="K438" s="116"/>
      <c r="L438" s="117"/>
      <c r="M438" s="118"/>
      <c r="N438" s="119"/>
    </row>
    <row r="439" spans="2:14" ht="16.5" customHeight="1" outlineLevel="2">
      <c r="B439" s="9"/>
      <c r="C439" s="9"/>
      <c r="D439" s="758" t="s">
        <v>111</v>
      </c>
      <c r="E439" s="758"/>
      <c r="F439" s="758"/>
      <c r="G439" s="116"/>
      <c r="H439" s="117"/>
      <c r="I439" s="118"/>
      <c r="J439" s="119"/>
      <c r="K439" s="116"/>
      <c r="L439" s="117"/>
      <c r="M439" s="118"/>
      <c r="N439" s="119"/>
    </row>
    <row r="440" spans="2:14" ht="16.5" customHeight="1" outlineLevel="2">
      <c r="B440" s="9"/>
      <c r="C440" s="9"/>
      <c r="D440" s="758"/>
      <c r="E440" s="758"/>
      <c r="F440" s="758"/>
      <c r="G440" s="116"/>
      <c r="H440" s="117"/>
      <c r="I440" s="118"/>
      <c r="J440" s="119"/>
      <c r="K440" s="116"/>
      <c r="L440" s="117"/>
      <c r="M440" s="118"/>
      <c r="N440" s="119"/>
    </row>
    <row r="441" spans="2:14" ht="16.5" customHeight="1" outlineLevel="2">
      <c r="B441" s="9"/>
      <c r="C441" s="536" t="s">
        <v>98</v>
      </c>
      <c r="D441" s="537"/>
      <c r="E441" s="537"/>
      <c r="F441" s="538"/>
      <c r="G441" s="116"/>
      <c r="H441" s="117"/>
      <c r="I441" s="118"/>
      <c r="J441" s="119"/>
      <c r="K441" s="116"/>
      <c r="L441" s="117"/>
      <c r="M441" s="118"/>
      <c r="N441" s="119"/>
    </row>
    <row r="442" spans="2:14" ht="16.5" customHeight="1" outlineLevel="2">
      <c r="B442" s="9"/>
      <c r="C442" s="539"/>
      <c r="D442" s="540"/>
      <c r="E442" s="540"/>
      <c r="F442" s="541"/>
      <c r="G442" s="116"/>
      <c r="H442" s="117"/>
      <c r="I442" s="118"/>
      <c r="J442" s="119"/>
      <c r="K442" s="116"/>
      <c r="L442" s="117"/>
      <c r="M442" s="118"/>
      <c r="N442" s="119"/>
    </row>
    <row r="443" spans="2:14" ht="16.5" customHeight="1" outlineLevel="2">
      <c r="B443" s="9"/>
      <c r="C443" s="539"/>
      <c r="D443" s="540"/>
      <c r="E443" s="540"/>
      <c r="F443" s="541"/>
      <c r="G443" s="116"/>
      <c r="H443" s="117"/>
      <c r="I443" s="118"/>
      <c r="J443" s="119"/>
      <c r="K443" s="116"/>
      <c r="L443" s="117"/>
      <c r="M443" s="118"/>
      <c r="N443" s="119"/>
    </row>
    <row r="444" spans="2:14" ht="16.5" customHeight="1" outlineLevel="2">
      <c r="B444" s="9"/>
      <c r="C444" s="542"/>
      <c r="D444" s="543"/>
      <c r="E444" s="543"/>
      <c r="F444" s="544"/>
      <c r="G444" s="116"/>
      <c r="H444" s="117"/>
      <c r="I444" s="118"/>
      <c r="J444" s="119"/>
      <c r="K444" s="116"/>
      <c r="L444" s="117"/>
      <c r="M444" s="118"/>
      <c r="N444" s="119"/>
    </row>
    <row r="445" spans="2:14" ht="16.5" customHeight="1" outlineLevel="2">
      <c r="B445" s="9"/>
      <c r="C445" s="9"/>
      <c r="D445" s="9"/>
      <c r="E445" s="9"/>
      <c r="F445" s="9"/>
      <c r="G445" s="116"/>
      <c r="H445" s="117"/>
      <c r="I445" s="118"/>
      <c r="J445" s="119"/>
      <c r="K445" s="116"/>
      <c r="L445" s="117"/>
      <c r="M445" s="118"/>
      <c r="N445" s="119"/>
    </row>
    <row r="446" spans="2:14" ht="16.5" customHeight="1" outlineLevel="1">
      <c r="B446" s="9"/>
      <c r="C446" s="9"/>
      <c r="D446" s="9"/>
      <c r="E446" s="9"/>
      <c r="F446" s="9"/>
      <c r="G446" s="116"/>
      <c r="H446" s="117"/>
      <c r="I446" s="118"/>
      <c r="J446" s="119"/>
      <c r="K446" s="116"/>
      <c r="L446" s="117"/>
      <c r="M446" s="118"/>
      <c r="N446" s="119"/>
    </row>
    <row r="447" spans="2:14" ht="16.5" customHeight="1" outlineLevel="1">
      <c r="B447" s="316" t="s">
        <v>709</v>
      </c>
      <c r="C447" s="318" t="s">
        <v>663</v>
      </c>
      <c r="D447" s="316"/>
      <c r="E447" s="316"/>
      <c r="F447" s="316"/>
      <c r="G447" s="116"/>
      <c r="H447" s="117"/>
      <c r="I447" s="118"/>
      <c r="J447" s="119"/>
      <c r="K447" s="116"/>
      <c r="L447" s="117"/>
      <c r="M447" s="118"/>
      <c r="N447" s="119"/>
    </row>
    <row r="448" spans="2:14" ht="16.5" customHeight="1" outlineLevel="3">
      <c r="B448" s="9"/>
      <c r="C448" s="61" t="s">
        <v>710</v>
      </c>
      <c r="D448" s="9"/>
      <c r="E448" s="9"/>
      <c r="F448" s="9"/>
      <c r="G448" s="116"/>
      <c r="H448" s="117"/>
      <c r="I448" s="118"/>
      <c r="J448" s="119"/>
      <c r="K448" s="116"/>
      <c r="L448" s="117"/>
      <c r="M448" s="118"/>
      <c r="N448" s="119"/>
    </row>
    <row r="449" spans="2:14" ht="16.5" customHeight="1" outlineLevel="3">
      <c r="B449" s="9"/>
      <c r="C449" s="9"/>
      <c r="D449" s="36" t="s">
        <v>108</v>
      </c>
      <c r="E449" s="36" t="s">
        <v>109</v>
      </c>
      <c r="F449" s="36" t="s">
        <v>110</v>
      </c>
      <c r="G449" s="116"/>
      <c r="H449" s="117"/>
      <c r="I449" s="118"/>
      <c r="J449" s="119"/>
      <c r="K449" s="116"/>
      <c r="L449" s="117"/>
      <c r="M449" s="118"/>
      <c r="N449" s="119"/>
    </row>
    <row r="450" spans="2:14" ht="16.5" customHeight="1" outlineLevel="3">
      <c r="B450" s="9"/>
      <c r="C450" s="9"/>
      <c r="D450" s="37"/>
      <c r="E450" s="37"/>
      <c r="F450" s="38"/>
      <c r="G450" s="116"/>
      <c r="H450" s="117"/>
      <c r="I450" s="118"/>
      <c r="J450" s="119"/>
      <c r="K450" s="116"/>
      <c r="L450" s="117"/>
      <c r="M450" s="118"/>
      <c r="N450" s="119"/>
    </row>
    <row r="451" spans="2:14" ht="16.5" customHeight="1" outlineLevel="3">
      <c r="B451" s="9"/>
      <c r="C451" s="9"/>
      <c r="D451" s="758" t="s">
        <v>111</v>
      </c>
      <c r="E451" s="758"/>
      <c r="F451" s="758"/>
      <c r="G451" s="116"/>
      <c r="H451" s="117"/>
      <c r="I451" s="118"/>
      <c r="J451" s="119"/>
      <c r="K451" s="116"/>
      <c r="L451" s="117"/>
      <c r="M451" s="118"/>
      <c r="N451" s="119"/>
    </row>
    <row r="452" spans="2:14" ht="16.5" customHeight="1" outlineLevel="3">
      <c r="B452" s="9"/>
      <c r="C452" s="9"/>
      <c r="D452" s="758"/>
      <c r="E452" s="758"/>
      <c r="F452" s="758"/>
      <c r="G452" s="116"/>
      <c r="H452" s="117"/>
      <c r="I452" s="118"/>
      <c r="J452" s="119"/>
      <c r="K452" s="116"/>
      <c r="L452" s="117"/>
      <c r="M452" s="118"/>
      <c r="N452" s="119"/>
    </row>
    <row r="453" spans="2:14" ht="16.5" customHeight="1" outlineLevel="3">
      <c r="B453" s="9"/>
      <c r="C453" s="9"/>
      <c r="D453" s="9"/>
      <c r="E453" s="9"/>
      <c r="F453" s="9"/>
      <c r="G453" s="116"/>
      <c r="H453" s="117"/>
      <c r="I453" s="118"/>
      <c r="J453" s="119"/>
      <c r="K453" s="116"/>
      <c r="L453" s="117"/>
      <c r="M453" s="118"/>
      <c r="N453" s="119"/>
    </row>
    <row r="454" spans="2:14" ht="16.5" customHeight="1" outlineLevel="3">
      <c r="B454" s="9"/>
      <c r="C454" s="61" t="s">
        <v>711</v>
      </c>
      <c r="D454" s="9"/>
      <c r="E454" s="9"/>
      <c r="F454" s="9"/>
      <c r="G454" s="116"/>
      <c r="H454" s="117"/>
      <c r="I454" s="118"/>
      <c r="J454" s="119"/>
      <c r="K454" s="116"/>
      <c r="L454" s="117"/>
      <c r="M454" s="118"/>
      <c r="N454" s="119"/>
    </row>
    <row r="455" spans="2:14" ht="16.5" customHeight="1" outlineLevel="3">
      <c r="B455" s="9"/>
      <c r="C455" s="9"/>
      <c r="D455" s="36" t="s">
        <v>108</v>
      </c>
      <c r="E455" s="36" t="s">
        <v>109</v>
      </c>
      <c r="F455" s="36" t="s">
        <v>110</v>
      </c>
      <c r="G455" s="116"/>
      <c r="H455" s="117"/>
      <c r="I455" s="118"/>
      <c r="J455" s="119"/>
      <c r="K455" s="116"/>
      <c r="L455" s="117"/>
      <c r="M455" s="118"/>
      <c r="N455" s="119"/>
    </row>
    <row r="456" spans="2:14" ht="16.5" customHeight="1" outlineLevel="3">
      <c r="B456" s="9"/>
      <c r="C456" s="9"/>
      <c r="D456" s="37"/>
      <c r="E456" s="37"/>
      <c r="F456" s="38"/>
      <c r="G456" s="116"/>
      <c r="H456" s="117"/>
      <c r="I456" s="118"/>
      <c r="J456" s="119"/>
      <c r="K456" s="116"/>
      <c r="L456" s="117"/>
      <c r="M456" s="118"/>
      <c r="N456" s="119"/>
    </row>
    <row r="457" spans="2:14" ht="16.5" customHeight="1" outlineLevel="3">
      <c r="B457" s="9"/>
      <c r="C457" s="9"/>
      <c r="D457" s="758" t="s">
        <v>111</v>
      </c>
      <c r="E457" s="758"/>
      <c r="F457" s="758"/>
      <c r="G457" s="116"/>
      <c r="H457" s="117"/>
      <c r="I457" s="118"/>
      <c r="J457" s="119"/>
      <c r="K457" s="116"/>
      <c r="L457" s="117"/>
      <c r="M457" s="118"/>
      <c r="N457" s="119"/>
    </row>
    <row r="458" spans="2:14" ht="16.5" customHeight="1" outlineLevel="3">
      <c r="B458" s="9"/>
      <c r="C458" s="9"/>
      <c r="D458" s="758"/>
      <c r="E458" s="758"/>
      <c r="F458" s="758"/>
      <c r="G458" s="116"/>
      <c r="H458" s="117"/>
      <c r="I458" s="118"/>
      <c r="J458" s="119"/>
      <c r="K458" s="116"/>
      <c r="L458" s="117"/>
      <c r="M458" s="118"/>
      <c r="N458" s="119"/>
    </row>
    <row r="459" spans="2:14" ht="16.5" customHeight="1" outlineLevel="3">
      <c r="B459" s="9"/>
      <c r="C459" s="9"/>
      <c r="D459" s="9"/>
      <c r="E459" s="9"/>
      <c r="F459" s="9"/>
      <c r="G459" s="116"/>
      <c r="H459" s="117"/>
      <c r="I459" s="118"/>
      <c r="J459" s="119"/>
      <c r="K459" s="116"/>
      <c r="L459" s="117"/>
      <c r="M459" s="118"/>
      <c r="N459" s="119"/>
    </row>
    <row r="460" spans="2:14" ht="16.5" customHeight="1" outlineLevel="3">
      <c r="B460" s="9"/>
      <c r="C460" s="536" t="s">
        <v>98</v>
      </c>
      <c r="D460" s="537"/>
      <c r="E460" s="537"/>
      <c r="F460" s="538"/>
      <c r="G460" s="116"/>
      <c r="H460" s="117"/>
      <c r="I460" s="118"/>
      <c r="J460" s="119"/>
      <c r="K460" s="116"/>
      <c r="L460" s="117"/>
      <c r="M460" s="118"/>
      <c r="N460" s="119"/>
    </row>
    <row r="461" spans="2:14" ht="16.5" customHeight="1" outlineLevel="3">
      <c r="B461" s="9"/>
      <c r="C461" s="539"/>
      <c r="D461" s="540"/>
      <c r="E461" s="540"/>
      <c r="F461" s="541"/>
      <c r="G461" s="116"/>
      <c r="H461" s="117"/>
      <c r="I461" s="118"/>
      <c r="J461" s="119"/>
      <c r="K461" s="116"/>
      <c r="L461" s="117"/>
      <c r="M461" s="118"/>
      <c r="N461" s="119"/>
    </row>
    <row r="462" spans="2:14" ht="16.5" customHeight="1" outlineLevel="3">
      <c r="B462" s="9"/>
      <c r="C462" s="539"/>
      <c r="D462" s="540"/>
      <c r="E462" s="540"/>
      <c r="F462" s="541"/>
      <c r="G462" s="116"/>
      <c r="H462" s="117"/>
      <c r="I462" s="118"/>
      <c r="J462" s="119"/>
      <c r="K462" s="116"/>
      <c r="L462" s="117"/>
      <c r="M462" s="118"/>
      <c r="N462" s="119"/>
    </row>
    <row r="463" spans="2:14" ht="16.5" customHeight="1" outlineLevel="3">
      <c r="B463" s="9"/>
      <c r="C463" s="542"/>
      <c r="D463" s="543"/>
      <c r="E463" s="543"/>
      <c r="F463" s="544"/>
      <c r="G463" s="116"/>
      <c r="H463" s="117"/>
      <c r="I463" s="118"/>
      <c r="J463" s="119"/>
      <c r="K463" s="116"/>
      <c r="L463" s="117"/>
      <c r="M463" s="118"/>
      <c r="N463" s="119"/>
    </row>
    <row r="464" spans="2:14" ht="16.5" customHeight="1" outlineLevel="3">
      <c r="B464" s="9"/>
      <c r="C464" s="9"/>
      <c r="D464" s="9"/>
      <c r="E464" s="9"/>
      <c r="F464" s="9"/>
      <c r="G464" s="116"/>
      <c r="H464" s="117"/>
      <c r="I464" s="118"/>
      <c r="J464" s="119"/>
      <c r="K464" s="116"/>
      <c r="L464" s="117"/>
      <c r="M464" s="118"/>
      <c r="N464" s="119"/>
    </row>
    <row r="465" spans="2:14" ht="16.5" customHeight="1" outlineLevel="3">
      <c r="B465" s="9"/>
      <c r="C465" s="9"/>
      <c r="D465" s="9"/>
      <c r="E465" s="9"/>
      <c r="F465" s="9"/>
      <c r="G465" s="116"/>
      <c r="H465" s="117"/>
      <c r="I465" s="118"/>
      <c r="J465" s="119"/>
      <c r="K465" s="116"/>
      <c r="L465" s="117"/>
      <c r="M465" s="118"/>
      <c r="N465" s="119"/>
    </row>
    <row r="466" spans="2:14" ht="16.5" customHeight="1" outlineLevel="1">
      <c r="B466" s="9"/>
      <c r="C466" s="9"/>
      <c r="D466" s="9"/>
      <c r="E466" s="9"/>
      <c r="F466" s="9"/>
      <c r="G466" s="116"/>
      <c r="H466" s="117"/>
      <c r="I466" s="118"/>
      <c r="J466" s="119"/>
      <c r="K466" s="116"/>
      <c r="L466" s="117"/>
      <c r="M466" s="118"/>
      <c r="N466" s="119"/>
    </row>
    <row r="467" spans="2:14" ht="16.5" customHeight="1" outlineLevel="1">
      <c r="B467" s="316" t="s">
        <v>712</v>
      </c>
      <c r="C467" s="318" t="s">
        <v>663</v>
      </c>
      <c r="D467" s="9"/>
      <c r="E467" s="9"/>
      <c r="F467" s="9"/>
      <c r="G467" s="116"/>
      <c r="H467" s="117"/>
      <c r="I467" s="118"/>
      <c r="J467" s="119"/>
      <c r="K467" s="116"/>
      <c r="L467" s="117"/>
      <c r="M467" s="118"/>
      <c r="N467" s="119"/>
    </row>
    <row r="468" spans="2:14" ht="16.5" customHeight="1" outlineLevel="2">
      <c r="B468" s="9"/>
      <c r="C468" s="61" t="s">
        <v>734</v>
      </c>
      <c r="D468" s="9"/>
      <c r="E468" s="9"/>
      <c r="F468" s="9"/>
      <c r="G468" s="116"/>
      <c r="H468" s="117"/>
      <c r="I468" s="118"/>
      <c r="J468" s="119"/>
      <c r="K468" s="116"/>
      <c r="L468" s="117"/>
      <c r="M468" s="118"/>
      <c r="N468" s="119"/>
    </row>
    <row r="469" spans="2:14" ht="16.5" customHeight="1" outlineLevel="2">
      <c r="B469" s="9"/>
      <c r="C469" s="9"/>
      <c r="D469" s="36" t="s">
        <v>108</v>
      </c>
      <c r="E469" s="36" t="s">
        <v>109</v>
      </c>
      <c r="F469" s="36" t="s">
        <v>110</v>
      </c>
      <c r="G469" s="116"/>
      <c r="H469" s="117"/>
      <c r="I469" s="118"/>
      <c r="J469" s="119"/>
      <c r="K469" s="116"/>
      <c r="L469" s="117"/>
      <c r="M469" s="118"/>
      <c r="N469" s="119"/>
    </row>
    <row r="470" spans="2:14" ht="16.5" customHeight="1" outlineLevel="2">
      <c r="B470" s="9"/>
      <c r="C470" s="9"/>
      <c r="D470" s="37"/>
      <c r="E470" s="37"/>
      <c r="F470" s="38"/>
      <c r="G470" s="116"/>
      <c r="H470" s="117"/>
      <c r="I470" s="118"/>
      <c r="J470" s="119"/>
      <c r="K470" s="116"/>
      <c r="L470" s="117"/>
      <c r="M470" s="118"/>
      <c r="N470" s="119"/>
    </row>
    <row r="471" spans="2:14" ht="16.5" customHeight="1" outlineLevel="2">
      <c r="B471" s="9"/>
      <c r="C471" s="9"/>
      <c r="D471" s="758" t="s">
        <v>111</v>
      </c>
      <c r="E471" s="758"/>
      <c r="F471" s="758"/>
      <c r="G471" s="116"/>
      <c r="H471" s="117"/>
      <c r="I471" s="118"/>
      <c r="J471" s="119"/>
      <c r="K471" s="116"/>
      <c r="L471" s="117"/>
      <c r="M471" s="118"/>
      <c r="N471" s="119"/>
    </row>
    <row r="472" spans="2:14" ht="16.5" customHeight="1" outlineLevel="2">
      <c r="B472" s="9"/>
      <c r="C472" s="9"/>
      <c r="D472" s="758"/>
      <c r="E472" s="758"/>
      <c r="F472" s="758"/>
      <c r="G472" s="116"/>
      <c r="H472" s="117"/>
      <c r="I472" s="118"/>
      <c r="J472" s="119"/>
      <c r="K472" s="116"/>
      <c r="L472" s="117"/>
      <c r="M472" s="118"/>
      <c r="N472" s="119"/>
    </row>
    <row r="473" spans="2:14" ht="16.5" customHeight="1" outlineLevel="2">
      <c r="B473" s="9"/>
      <c r="C473" s="9"/>
      <c r="D473" s="9"/>
      <c r="E473" s="9"/>
      <c r="F473" s="9"/>
      <c r="G473" s="116"/>
      <c r="H473" s="117"/>
      <c r="I473" s="118"/>
      <c r="J473" s="119"/>
      <c r="K473" s="116"/>
      <c r="L473" s="117"/>
      <c r="M473" s="118"/>
      <c r="N473" s="119"/>
    </row>
    <row r="474" spans="2:14" ht="16.5" customHeight="1" outlineLevel="2">
      <c r="B474" s="9"/>
      <c r="C474" s="536" t="s">
        <v>98</v>
      </c>
      <c r="D474" s="537"/>
      <c r="E474" s="537"/>
      <c r="F474" s="538"/>
      <c r="G474" s="116"/>
      <c r="H474" s="117"/>
      <c r="I474" s="118"/>
      <c r="J474" s="119"/>
      <c r="K474" s="116"/>
      <c r="L474" s="117"/>
      <c r="M474" s="118"/>
      <c r="N474" s="119"/>
    </row>
    <row r="475" spans="2:14" ht="16.5" customHeight="1" outlineLevel="2">
      <c r="B475" s="9"/>
      <c r="C475" s="539"/>
      <c r="D475" s="540"/>
      <c r="E475" s="540"/>
      <c r="F475" s="541"/>
      <c r="G475" s="116"/>
      <c r="H475" s="117"/>
      <c r="I475" s="118"/>
      <c r="J475" s="119"/>
      <c r="K475" s="116"/>
      <c r="L475" s="117"/>
      <c r="M475" s="118"/>
      <c r="N475" s="119"/>
    </row>
    <row r="476" spans="2:14" ht="16.5" customHeight="1" outlineLevel="2">
      <c r="B476" s="9"/>
      <c r="C476" s="539"/>
      <c r="D476" s="540"/>
      <c r="E476" s="540"/>
      <c r="F476" s="541"/>
      <c r="G476" s="116"/>
      <c r="H476" s="117"/>
      <c r="I476" s="118"/>
      <c r="J476" s="119"/>
      <c r="K476" s="116"/>
      <c r="L476" s="117"/>
      <c r="M476" s="118"/>
      <c r="N476" s="119"/>
    </row>
    <row r="477" spans="2:14" ht="16.5" customHeight="1" outlineLevel="2">
      <c r="B477" s="9"/>
      <c r="C477" s="542"/>
      <c r="D477" s="543"/>
      <c r="E477" s="543"/>
      <c r="F477" s="544"/>
      <c r="G477" s="116"/>
      <c r="H477" s="117"/>
      <c r="I477" s="118"/>
      <c r="J477" s="119"/>
      <c r="K477" s="116"/>
      <c r="L477" s="117"/>
      <c r="M477" s="118"/>
      <c r="N477" s="119"/>
    </row>
    <row r="478" spans="2:14" ht="16.5" customHeight="1" outlineLevel="2">
      <c r="B478" s="9"/>
      <c r="C478" s="9"/>
      <c r="D478" s="9"/>
      <c r="E478" s="9"/>
      <c r="F478" s="9"/>
      <c r="G478" s="116"/>
      <c r="H478" s="117"/>
      <c r="I478" s="118"/>
      <c r="J478" s="119"/>
      <c r="K478" s="116"/>
      <c r="L478" s="117"/>
      <c r="M478" s="118"/>
      <c r="N478" s="119"/>
    </row>
    <row r="479" spans="2:14" ht="16.5" customHeight="1" outlineLevel="1">
      <c r="B479" s="9"/>
      <c r="C479" s="9"/>
      <c r="D479" s="9"/>
      <c r="E479" s="9"/>
      <c r="F479" s="9"/>
      <c r="G479" s="116"/>
      <c r="H479" s="117"/>
      <c r="I479" s="118"/>
      <c r="J479" s="119"/>
      <c r="K479" s="116"/>
      <c r="L479" s="117"/>
      <c r="M479" s="118"/>
      <c r="N479" s="119"/>
    </row>
    <row r="480" spans="2:14" ht="16.5" customHeight="1" outlineLevel="1">
      <c r="B480" s="316" t="s">
        <v>715</v>
      </c>
      <c r="C480" s="318" t="s">
        <v>663</v>
      </c>
      <c r="D480" s="9"/>
      <c r="E480" s="9"/>
      <c r="F480" s="9"/>
      <c r="G480" s="116"/>
      <c r="H480" s="117"/>
      <c r="I480" s="118"/>
      <c r="J480" s="119"/>
      <c r="K480" s="116"/>
      <c r="L480" s="117"/>
      <c r="M480" s="118"/>
      <c r="N480" s="119"/>
    </row>
    <row r="481" spans="2:14" ht="16.5" customHeight="1" outlineLevel="2">
      <c r="B481" s="9"/>
      <c r="C481" s="61" t="s">
        <v>713</v>
      </c>
      <c r="D481" s="9"/>
      <c r="E481" s="9"/>
      <c r="F481" s="9"/>
      <c r="G481" s="116"/>
      <c r="H481" s="117"/>
      <c r="I481" s="118"/>
      <c r="J481" s="119"/>
      <c r="K481" s="116"/>
      <c r="L481" s="117"/>
      <c r="M481" s="118"/>
      <c r="N481" s="119"/>
    </row>
    <row r="482" spans="2:14" ht="16.5" customHeight="1" outlineLevel="2">
      <c r="B482" s="9"/>
      <c r="C482" s="9"/>
      <c r="D482" s="36" t="s">
        <v>108</v>
      </c>
      <c r="E482" s="36" t="s">
        <v>109</v>
      </c>
      <c r="F482" s="36" t="s">
        <v>110</v>
      </c>
      <c r="G482" s="116"/>
      <c r="H482" s="117"/>
      <c r="I482" s="118"/>
      <c r="J482" s="119"/>
      <c r="K482" s="116"/>
      <c r="L482" s="117"/>
      <c r="M482" s="118"/>
      <c r="N482" s="119"/>
    </row>
    <row r="483" spans="2:14" ht="16.5" customHeight="1" outlineLevel="2">
      <c r="B483" s="9"/>
      <c r="C483" s="9"/>
      <c r="D483" s="37"/>
      <c r="E483" s="37"/>
      <c r="F483" s="38"/>
      <c r="G483" s="116"/>
      <c r="H483" s="117"/>
      <c r="I483" s="118"/>
      <c r="J483" s="119"/>
      <c r="K483" s="116"/>
      <c r="L483" s="117"/>
      <c r="M483" s="118"/>
      <c r="N483" s="119"/>
    </row>
    <row r="484" spans="2:14" ht="16.5" customHeight="1" outlineLevel="2">
      <c r="B484" s="9"/>
      <c r="C484" s="9"/>
      <c r="D484" s="758" t="s">
        <v>111</v>
      </c>
      <c r="E484" s="758"/>
      <c r="F484" s="758"/>
      <c r="G484" s="116"/>
      <c r="H484" s="117"/>
      <c r="I484" s="118"/>
      <c r="J484" s="119"/>
      <c r="K484" s="116"/>
      <c r="L484" s="117"/>
      <c r="M484" s="118"/>
      <c r="N484" s="119"/>
    </row>
    <row r="485" spans="2:14" ht="16.5" customHeight="1" outlineLevel="2">
      <c r="B485" s="9"/>
      <c r="C485" s="9"/>
      <c r="D485" s="758"/>
      <c r="E485" s="758"/>
      <c r="F485" s="758"/>
      <c r="G485" s="116"/>
      <c r="H485" s="117"/>
      <c r="I485" s="118"/>
      <c r="J485" s="119"/>
      <c r="K485" s="116"/>
      <c r="L485" s="117"/>
      <c r="M485" s="118"/>
      <c r="N485" s="119"/>
    </row>
    <row r="486" spans="2:14" ht="16.5" customHeight="1" outlineLevel="2">
      <c r="B486" s="9"/>
      <c r="C486" s="9"/>
      <c r="D486" s="9"/>
      <c r="E486" s="9"/>
      <c r="F486" s="9"/>
      <c r="G486" s="116"/>
      <c r="H486" s="117"/>
      <c r="I486" s="118"/>
      <c r="J486" s="119"/>
      <c r="K486" s="116"/>
      <c r="L486" s="117"/>
      <c r="M486" s="118"/>
      <c r="N486" s="119"/>
    </row>
    <row r="487" spans="2:14" ht="16.5" customHeight="1" outlineLevel="2">
      <c r="B487" s="9"/>
      <c r="C487" s="61" t="s">
        <v>739</v>
      </c>
      <c r="D487" s="9"/>
      <c r="E487" s="9"/>
      <c r="F487" s="9"/>
      <c r="G487" s="116"/>
      <c r="H487" s="117"/>
      <c r="I487" s="118"/>
      <c r="J487" s="119"/>
      <c r="K487" s="116"/>
      <c r="L487" s="117"/>
      <c r="M487" s="118"/>
      <c r="N487" s="119"/>
    </row>
    <row r="488" spans="2:14" ht="16.5" customHeight="1" outlineLevel="2">
      <c r="B488" s="9"/>
      <c r="C488" s="9"/>
      <c r="D488" s="36" t="s">
        <v>108</v>
      </c>
      <c r="E488" s="36" t="s">
        <v>109</v>
      </c>
      <c r="F488" s="36" t="s">
        <v>110</v>
      </c>
      <c r="G488" s="116"/>
      <c r="H488" s="117"/>
      <c r="I488" s="118"/>
      <c r="J488" s="119"/>
      <c r="K488" s="116"/>
      <c r="L488" s="117"/>
      <c r="M488" s="118"/>
      <c r="N488" s="119"/>
    </row>
    <row r="489" spans="2:14" ht="16.5" customHeight="1" outlineLevel="2">
      <c r="B489" s="9"/>
      <c r="C489" s="9"/>
      <c r="D489" s="37"/>
      <c r="E489" s="37"/>
      <c r="F489" s="38"/>
      <c r="G489" s="116"/>
      <c r="H489" s="117"/>
      <c r="I489" s="118"/>
      <c r="J489" s="119"/>
      <c r="K489" s="116"/>
      <c r="L489" s="117"/>
      <c r="M489" s="118"/>
      <c r="N489" s="119"/>
    </row>
    <row r="490" spans="2:14" ht="16.5" customHeight="1" outlineLevel="2">
      <c r="B490" s="9"/>
      <c r="C490" s="9"/>
      <c r="D490" s="758" t="s">
        <v>111</v>
      </c>
      <c r="E490" s="758"/>
      <c r="F490" s="758"/>
      <c r="G490" s="116"/>
      <c r="H490" s="117"/>
      <c r="I490" s="118"/>
      <c r="J490" s="119"/>
      <c r="K490" s="116"/>
      <c r="L490" s="117"/>
      <c r="M490" s="118"/>
      <c r="N490" s="119"/>
    </row>
    <row r="491" spans="2:14" ht="16.5" customHeight="1" outlineLevel="2">
      <c r="B491" s="9"/>
      <c r="C491" s="9"/>
      <c r="D491" s="758"/>
      <c r="E491" s="758"/>
      <c r="F491" s="758"/>
      <c r="G491" s="116"/>
      <c r="H491" s="117"/>
      <c r="I491" s="118"/>
      <c r="J491" s="119"/>
      <c r="K491" s="116"/>
      <c r="L491" s="117"/>
      <c r="M491" s="118"/>
      <c r="N491" s="119"/>
    </row>
    <row r="492" spans="2:14" ht="16.5" customHeight="1" outlineLevel="2">
      <c r="B492" s="9"/>
      <c r="C492" s="9"/>
      <c r="D492" s="9"/>
      <c r="E492" s="9"/>
      <c r="F492" s="9"/>
      <c r="G492" s="116"/>
      <c r="H492" s="117"/>
      <c r="I492" s="118"/>
      <c r="J492" s="119"/>
      <c r="K492" s="116"/>
      <c r="L492" s="117"/>
      <c r="M492" s="118"/>
      <c r="N492" s="119"/>
    </row>
    <row r="493" spans="2:14" ht="16.5" customHeight="1" outlineLevel="2">
      <c r="B493" s="9"/>
      <c r="C493" s="9" t="s">
        <v>714</v>
      </c>
      <c r="D493" s="9"/>
      <c r="E493" s="9"/>
      <c r="F493" s="9"/>
      <c r="G493" s="116"/>
      <c r="H493" s="117"/>
      <c r="I493" s="118"/>
      <c r="J493" s="119"/>
      <c r="K493" s="116"/>
      <c r="L493" s="117"/>
      <c r="M493" s="118"/>
      <c r="N493" s="119"/>
    </row>
    <row r="494" spans="2:14" ht="16.5" customHeight="1" outlineLevel="2">
      <c r="B494" s="9"/>
      <c r="C494" s="9"/>
      <c r="D494" s="9"/>
      <c r="E494" s="9"/>
      <c r="F494" s="9"/>
      <c r="G494" s="116"/>
      <c r="H494" s="117"/>
      <c r="I494" s="118"/>
      <c r="J494" s="119"/>
      <c r="K494" s="116"/>
      <c r="L494" s="117"/>
      <c r="M494" s="118"/>
      <c r="N494" s="119"/>
    </row>
    <row r="495" spans="2:14" ht="16.5" customHeight="1" outlineLevel="2">
      <c r="B495" s="9"/>
      <c r="C495" s="9"/>
      <c r="D495" s="9"/>
      <c r="E495" s="9"/>
      <c r="F495" s="9"/>
      <c r="G495" s="116"/>
      <c r="H495" s="117"/>
      <c r="I495" s="118"/>
      <c r="J495" s="119"/>
      <c r="K495" s="116"/>
      <c r="L495" s="117"/>
      <c r="M495" s="118"/>
      <c r="N495" s="119"/>
    </row>
    <row r="496" spans="2:14" ht="16.5" customHeight="1" outlineLevel="2">
      <c r="B496" s="9"/>
      <c r="C496" s="9"/>
      <c r="D496" s="9"/>
      <c r="E496" s="9"/>
      <c r="F496" s="9"/>
      <c r="G496" s="116"/>
      <c r="H496" s="117"/>
      <c r="I496" s="118"/>
      <c r="J496" s="119"/>
      <c r="K496" s="116"/>
      <c r="L496" s="117"/>
      <c r="M496" s="118"/>
      <c r="N496" s="119"/>
    </row>
    <row r="497" spans="2:14" ht="16.5" customHeight="1" outlineLevel="2">
      <c r="B497" s="9"/>
      <c r="C497" s="536" t="s">
        <v>98</v>
      </c>
      <c r="D497" s="537"/>
      <c r="E497" s="537"/>
      <c r="F497" s="538"/>
      <c r="G497" s="116"/>
      <c r="H497" s="117"/>
      <c r="I497" s="118"/>
      <c r="J497" s="119"/>
      <c r="K497" s="116"/>
      <c r="L497" s="117"/>
      <c r="M497" s="118"/>
      <c r="N497" s="119"/>
    </row>
    <row r="498" spans="2:14" ht="16.5" customHeight="1" outlineLevel="2">
      <c r="B498" s="9"/>
      <c r="C498" s="539"/>
      <c r="D498" s="540"/>
      <c r="E498" s="540"/>
      <c r="F498" s="541"/>
      <c r="G498" s="116"/>
      <c r="H498" s="117"/>
      <c r="I498" s="118"/>
      <c r="J498" s="119"/>
      <c r="K498" s="116"/>
      <c r="L498" s="117"/>
      <c r="M498" s="118"/>
      <c r="N498" s="119"/>
    </row>
    <row r="499" spans="2:14" ht="16.5" customHeight="1" outlineLevel="2">
      <c r="B499" s="9"/>
      <c r="C499" s="539"/>
      <c r="D499" s="540"/>
      <c r="E499" s="540"/>
      <c r="F499" s="541"/>
      <c r="G499" s="116"/>
      <c r="H499" s="117"/>
      <c r="I499" s="118"/>
      <c r="J499" s="119"/>
      <c r="K499" s="116"/>
      <c r="L499" s="117"/>
      <c r="M499" s="118"/>
      <c r="N499" s="119"/>
    </row>
    <row r="500" spans="2:14" ht="16.5" customHeight="1" outlineLevel="2">
      <c r="B500" s="9"/>
      <c r="C500" s="542"/>
      <c r="D500" s="543"/>
      <c r="E500" s="543"/>
      <c r="F500" s="544"/>
      <c r="G500" s="116"/>
      <c r="H500" s="117"/>
      <c r="I500" s="118"/>
      <c r="J500" s="119"/>
      <c r="K500" s="116"/>
      <c r="L500" s="117"/>
      <c r="M500" s="118"/>
      <c r="N500" s="119"/>
    </row>
    <row r="501" spans="2:14" ht="16.5" customHeight="1" outlineLevel="2">
      <c r="B501" s="9"/>
      <c r="C501" s="9"/>
      <c r="D501" s="9"/>
      <c r="E501" s="9"/>
      <c r="F501" s="9"/>
      <c r="G501" s="116"/>
      <c r="H501" s="117"/>
      <c r="I501" s="118"/>
      <c r="J501" s="119"/>
      <c r="K501" s="116"/>
      <c r="L501" s="117"/>
      <c r="M501" s="118"/>
      <c r="N501" s="119"/>
    </row>
    <row r="502" spans="2:14" ht="16.5" customHeight="1" outlineLevel="1">
      <c r="B502" s="9"/>
      <c r="C502" s="9"/>
      <c r="D502" s="9"/>
      <c r="E502" s="9"/>
      <c r="F502" s="9"/>
      <c r="G502" s="116"/>
      <c r="H502" s="117"/>
      <c r="I502" s="118"/>
      <c r="J502" s="119"/>
      <c r="K502" s="116"/>
      <c r="L502" s="117"/>
      <c r="M502" s="118"/>
      <c r="N502" s="119"/>
    </row>
    <row r="503" spans="2:14" ht="16.5" customHeight="1" outlineLevel="1">
      <c r="B503" s="316" t="s">
        <v>716</v>
      </c>
      <c r="C503" s="318" t="s">
        <v>663</v>
      </c>
      <c r="D503" s="9"/>
      <c r="E503" s="9"/>
      <c r="F503" s="9"/>
      <c r="G503" s="116"/>
      <c r="H503" s="117"/>
      <c r="I503" s="118"/>
      <c r="J503" s="119"/>
      <c r="K503" s="116"/>
      <c r="L503" s="117"/>
      <c r="M503" s="118"/>
      <c r="N503" s="119"/>
    </row>
    <row r="504" spans="2:14" ht="16.5" customHeight="1" outlineLevel="2">
      <c r="B504" s="9"/>
      <c r="C504" s="61" t="s">
        <v>781</v>
      </c>
      <c r="D504" s="9"/>
      <c r="E504" s="9"/>
      <c r="F504" s="9"/>
      <c r="G504" s="116"/>
      <c r="H504" s="117"/>
      <c r="I504" s="118"/>
      <c r="J504" s="119"/>
      <c r="K504" s="116"/>
      <c r="L504" s="117"/>
      <c r="M504" s="118"/>
      <c r="N504" s="119"/>
    </row>
    <row r="505" spans="2:14" ht="16.5" customHeight="1" outlineLevel="2">
      <c r="B505" s="9"/>
      <c r="C505" s="9"/>
      <c r="D505" s="373" t="s">
        <v>108</v>
      </c>
      <c r="E505" s="373" t="s">
        <v>109</v>
      </c>
      <c r="F505" s="373" t="s">
        <v>110</v>
      </c>
      <c r="G505" s="116"/>
      <c r="H505" s="117"/>
      <c r="I505" s="118"/>
      <c r="J505" s="119"/>
      <c r="K505" s="116"/>
      <c r="L505" s="117"/>
      <c r="M505" s="118"/>
      <c r="N505" s="119"/>
    </row>
    <row r="506" spans="2:14" ht="16.5" customHeight="1" outlineLevel="2">
      <c r="B506" s="9"/>
      <c r="C506" s="9"/>
      <c r="D506" s="237"/>
      <c r="E506" s="237"/>
      <c r="F506" s="382"/>
      <c r="G506" s="116"/>
      <c r="H506" s="117"/>
      <c r="I506" s="118"/>
      <c r="J506" s="119"/>
      <c r="K506" s="116"/>
      <c r="L506" s="117"/>
      <c r="M506" s="118"/>
      <c r="N506" s="119"/>
    </row>
    <row r="507" spans="2:14" ht="16.5" customHeight="1" outlineLevel="2">
      <c r="B507" s="9"/>
      <c r="C507" s="9"/>
      <c r="D507" s="374"/>
      <c r="E507" s="374"/>
      <c r="F507" s="374"/>
      <c r="G507" s="116"/>
      <c r="H507" s="117"/>
      <c r="I507" s="118"/>
      <c r="J507" s="119"/>
      <c r="K507" s="116"/>
      <c r="L507" s="117"/>
      <c r="M507" s="118"/>
      <c r="N507" s="119"/>
    </row>
    <row r="508" spans="2:14" ht="16.5" customHeight="1" outlineLevel="2">
      <c r="B508" s="9"/>
      <c r="C508" s="9"/>
      <c r="D508" s="374"/>
      <c r="E508" s="374"/>
      <c r="F508" s="374"/>
      <c r="G508" s="116"/>
      <c r="H508" s="117"/>
      <c r="I508" s="118"/>
      <c r="J508" s="119"/>
      <c r="K508" s="116"/>
      <c r="L508" s="117"/>
      <c r="M508" s="118"/>
      <c r="N508" s="119"/>
    </row>
    <row r="509" spans="2:14" ht="16.5" customHeight="1" outlineLevel="2">
      <c r="B509" s="9"/>
      <c r="C509" s="9"/>
      <c r="D509" s="9"/>
      <c r="E509" s="9"/>
      <c r="F509" s="9"/>
      <c r="G509" s="116"/>
      <c r="H509" s="117"/>
      <c r="I509" s="118"/>
      <c r="J509" s="119"/>
      <c r="K509" s="116"/>
      <c r="L509" s="117"/>
      <c r="M509" s="118"/>
      <c r="N509" s="119"/>
    </row>
    <row r="510" spans="2:14" ht="16.5" customHeight="1" outlineLevel="2" thickBot="1">
      <c r="B510" s="9"/>
      <c r="C510" s="375" t="s">
        <v>797</v>
      </c>
      <c r="D510" s="9"/>
      <c r="E510" s="9"/>
      <c r="F510" s="9"/>
      <c r="G510" s="116"/>
      <c r="H510" s="117"/>
      <c r="I510" s="118"/>
      <c r="J510" s="119"/>
      <c r="K510" s="116"/>
      <c r="L510" s="117"/>
      <c r="M510" s="118"/>
      <c r="N510" s="119"/>
    </row>
    <row r="511" spans="2:14" ht="16.5" customHeight="1" outlineLevel="2">
      <c r="B511" s="596" t="str">
        <f>IF('Datos ensayos LUM.'!CF140=1,"INDICAR DATOS MEDIDOS"," ")</f>
        <v>INDICAR DATOS MEDIDOS</v>
      </c>
      <c r="C511" s="725" t="s">
        <v>786</v>
      </c>
      <c r="D511" s="760" t="s">
        <v>782</v>
      </c>
      <c r="E511" s="760"/>
      <c r="F511" s="760"/>
      <c r="G511" s="194"/>
      <c r="H511" s="194"/>
      <c r="I511" s="194"/>
      <c r="J511" s="194"/>
      <c r="K511" s="194"/>
      <c r="L511" s="194"/>
      <c r="M511" s="194"/>
      <c r="N511" s="195"/>
    </row>
    <row r="512" spans="2:14" ht="16.5" customHeight="1" outlineLevel="2">
      <c r="B512" s="596"/>
      <c r="C512" s="727"/>
      <c r="D512" s="761" t="s">
        <v>783</v>
      </c>
      <c r="E512" s="761"/>
      <c r="F512" s="761"/>
      <c r="G512" s="197"/>
      <c r="H512" s="197"/>
      <c r="I512" s="197"/>
      <c r="J512" s="197"/>
      <c r="K512" s="197"/>
      <c r="L512" s="197"/>
      <c r="M512" s="197"/>
      <c r="N512" s="198"/>
    </row>
    <row r="513" spans="2:14" ht="16.5" customHeight="1" outlineLevel="2">
      <c r="B513" s="596"/>
      <c r="C513" s="727"/>
      <c r="D513" s="761" t="s">
        <v>784</v>
      </c>
      <c r="E513" s="761"/>
      <c r="F513" s="761"/>
      <c r="G513" s="197"/>
      <c r="H513" s="197"/>
      <c r="I513" s="197"/>
      <c r="J513" s="197"/>
      <c r="K513" s="197"/>
      <c r="L513" s="197"/>
      <c r="M513" s="197"/>
      <c r="N513" s="198"/>
    </row>
    <row r="514" spans="2:14" ht="16.5" customHeight="1" outlineLevel="2" thickBot="1">
      <c r="B514" s="596"/>
      <c r="C514" s="729"/>
      <c r="D514" s="762" t="s">
        <v>785</v>
      </c>
      <c r="E514" s="762"/>
      <c r="F514" s="762"/>
      <c r="G514" s="200"/>
      <c r="H514" s="200"/>
      <c r="I514" s="200"/>
      <c r="J514" s="200"/>
      <c r="K514" s="200"/>
      <c r="L514" s="200"/>
      <c r="M514" s="200"/>
      <c r="N514" s="201"/>
    </row>
    <row r="515" spans="2:14" ht="16.5" customHeight="1" outlineLevel="2">
      <c r="B515" s="9"/>
      <c r="C515" s="9"/>
      <c r="D515" s="9"/>
      <c r="E515" s="9"/>
      <c r="F515" s="9"/>
      <c r="G515" s="116"/>
      <c r="H515" s="117"/>
      <c r="I515" s="118"/>
      <c r="J515" s="119"/>
      <c r="K515" s="116"/>
      <c r="L515" s="117"/>
      <c r="M515" s="118"/>
      <c r="N515" s="119"/>
    </row>
    <row r="516" spans="2:14" ht="16.5" customHeight="1" outlineLevel="2">
      <c r="B516" s="9"/>
      <c r="C516" s="536" t="s">
        <v>98</v>
      </c>
      <c r="D516" s="537"/>
      <c r="E516" s="537"/>
      <c r="F516" s="538"/>
      <c r="G516" s="116"/>
      <c r="H516" s="117"/>
      <c r="I516" s="118"/>
      <c r="J516" s="119"/>
      <c r="K516" s="116"/>
      <c r="L516" s="117"/>
      <c r="M516" s="118"/>
      <c r="N516" s="119"/>
    </row>
    <row r="517" spans="2:14" ht="16.5" customHeight="1" outlineLevel="2">
      <c r="B517" s="9"/>
      <c r="C517" s="539"/>
      <c r="D517" s="540"/>
      <c r="E517" s="540"/>
      <c r="F517" s="541"/>
      <c r="G517" s="116"/>
      <c r="H517" s="117"/>
      <c r="I517" s="118"/>
      <c r="J517" s="119"/>
      <c r="K517" s="116"/>
      <c r="L517" s="117"/>
      <c r="M517" s="118"/>
      <c r="N517" s="119"/>
    </row>
    <row r="518" spans="2:14" ht="16.5" customHeight="1" outlineLevel="2">
      <c r="B518" s="9"/>
      <c r="C518" s="539"/>
      <c r="D518" s="540"/>
      <c r="E518" s="540"/>
      <c r="F518" s="541"/>
      <c r="G518" s="116"/>
      <c r="H518" s="117"/>
      <c r="I518" s="118"/>
      <c r="J518" s="119"/>
      <c r="K518" s="116"/>
      <c r="L518" s="117"/>
      <c r="M518" s="118"/>
      <c r="N518" s="119"/>
    </row>
    <row r="519" spans="2:14" ht="16.5" customHeight="1" outlineLevel="2">
      <c r="B519" s="9"/>
      <c r="C519" s="542"/>
      <c r="D519" s="543"/>
      <c r="E519" s="543"/>
      <c r="F519" s="544"/>
      <c r="G519" s="116"/>
      <c r="H519" s="117"/>
      <c r="I519" s="118"/>
      <c r="J519" s="119"/>
      <c r="K519" s="116"/>
      <c r="L519" s="117"/>
      <c r="M519" s="118"/>
      <c r="N519" s="119"/>
    </row>
    <row r="520" spans="2:14" ht="16.5" customHeight="1" outlineLevel="2">
      <c r="B520" s="9"/>
      <c r="C520" s="9"/>
      <c r="D520" s="9"/>
      <c r="E520" s="9"/>
      <c r="F520" s="9"/>
      <c r="G520" s="116"/>
      <c r="H520" s="117"/>
      <c r="I520" s="118"/>
      <c r="J520" s="119"/>
      <c r="K520" s="116"/>
      <c r="L520" s="117"/>
      <c r="M520" s="118"/>
      <c r="N520" s="119"/>
    </row>
    <row r="521" spans="2:14" ht="16.5" customHeight="1" outlineLevel="2">
      <c r="B521" s="9"/>
      <c r="C521" s="61" t="s">
        <v>787</v>
      </c>
      <c r="D521" s="9"/>
      <c r="E521" s="9"/>
      <c r="F521" s="9"/>
      <c r="G521" s="116"/>
      <c r="H521" s="117"/>
      <c r="I521" s="118"/>
      <c r="J521" s="119"/>
      <c r="K521" s="116"/>
      <c r="L521" s="117"/>
      <c r="M521" s="118"/>
      <c r="N521" s="119"/>
    </row>
    <row r="522" spans="2:14" ht="16.5" customHeight="1" outlineLevel="2">
      <c r="B522" s="9"/>
      <c r="C522" s="9"/>
      <c r="D522" s="373" t="s">
        <v>108</v>
      </c>
      <c r="E522" s="373" t="s">
        <v>109</v>
      </c>
      <c r="F522" s="373" t="s">
        <v>110</v>
      </c>
      <c r="G522" s="116"/>
      <c r="H522" s="117"/>
      <c r="I522" s="118"/>
      <c r="J522" s="119"/>
      <c r="K522" s="116"/>
      <c r="L522" s="117"/>
      <c r="M522" s="118"/>
      <c r="N522" s="119"/>
    </row>
    <row r="523" spans="2:14" ht="16.5" customHeight="1" outlineLevel="2">
      <c r="B523" s="9"/>
      <c r="C523" s="9"/>
      <c r="D523" s="237"/>
      <c r="E523" s="237"/>
      <c r="F523" s="382"/>
      <c r="G523" s="116"/>
      <c r="H523" s="117"/>
      <c r="I523" s="118"/>
      <c r="J523" s="119"/>
      <c r="K523" s="116"/>
      <c r="L523" s="117"/>
      <c r="M523" s="118"/>
      <c r="N523" s="119"/>
    </row>
    <row r="524" spans="2:14" ht="16.5" customHeight="1" outlineLevel="2">
      <c r="B524" s="9"/>
      <c r="C524" s="9"/>
      <c r="D524" s="9"/>
      <c r="E524" s="9"/>
      <c r="F524" s="9"/>
      <c r="G524" s="116"/>
      <c r="H524" s="117"/>
      <c r="I524" s="118"/>
      <c r="J524" s="119"/>
      <c r="K524" s="116"/>
      <c r="L524" s="117"/>
      <c r="M524" s="118"/>
      <c r="N524" s="119"/>
    </row>
    <row r="525" spans="2:14" ht="16.5" customHeight="1" outlineLevel="2" thickBot="1">
      <c r="B525" s="9"/>
      <c r="C525" s="375" t="s">
        <v>797</v>
      </c>
      <c r="D525" s="9"/>
      <c r="E525" s="9"/>
      <c r="F525" s="9"/>
      <c r="G525" s="116"/>
      <c r="H525" s="117"/>
      <c r="I525" s="118"/>
      <c r="J525" s="119"/>
      <c r="K525" s="116"/>
      <c r="L525" s="117"/>
      <c r="M525" s="118"/>
      <c r="N525" s="119"/>
    </row>
    <row r="526" spans="2:14" ht="16.5" customHeight="1" outlineLevel="2">
      <c r="B526" s="759" t="str">
        <f>IF('Datos ensayos LUM.'!CF149=1,"INDICAR DATOS MEDIDOS"," ")</f>
        <v>INDICAR DATOS MEDIDOS</v>
      </c>
      <c r="C526" s="725" t="s">
        <v>788</v>
      </c>
      <c r="D526" s="314" t="s">
        <v>789</v>
      </c>
      <c r="E526" s="314"/>
      <c r="F526" s="314"/>
      <c r="G526" s="194"/>
      <c r="H526" s="194"/>
      <c r="I526" s="194"/>
      <c r="J526" s="194"/>
      <c r="K526" s="194"/>
      <c r="L526" s="194"/>
      <c r="M526" s="194"/>
      <c r="N526" s="195"/>
    </row>
    <row r="527" spans="2:14" ht="16.5" customHeight="1" outlineLevel="2">
      <c r="B527" s="759"/>
      <c r="C527" s="727"/>
      <c r="D527" s="360" t="s">
        <v>790</v>
      </c>
      <c r="E527" s="360"/>
      <c r="F527" s="360"/>
      <c r="G527" s="197"/>
      <c r="H527" s="197"/>
      <c r="I527" s="197"/>
      <c r="J527" s="197"/>
      <c r="K527" s="197"/>
      <c r="L527" s="197"/>
      <c r="M527" s="197"/>
      <c r="N527" s="198"/>
    </row>
    <row r="528" spans="2:14" ht="16.5" customHeight="1" outlineLevel="2" thickBot="1">
      <c r="B528" s="759"/>
      <c r="C528" s="729"/>
      <c r="D528" s="317" t="s">
        <v>791</v>
      </c>
      <c r="E528" s="317"/>
      <c r="F528" s="317"/>
      <c r="G528" s="200"/>
      <c r="H528" s="200"/>
      <c r="I528" s="200"/>
      <c r="J528" s="200"/>
      <c r="K528" s="200"/>
      <c r="L528" s="200"/>
      <c r="M528" s="200"/>
      <c r="N528" s="201"/>
    </row>
    <row r="529" spans="1:14" ht="16.5" customHeight="1" outlineLevel="2">
      <c r="B529" s="9"/>
      <c r="C529" s="372"/>
      <c r="D529" s="9"/>
      <c r="E529" s="9"/>
      <c r="F529" s="9"/>
      <c r="G529" s="116"/>
      <c r="H529" s="117"/>
      <c r="I529" s="118"/>
      <c r="J529" s="119"/>
      <c r="K529" s="116"/>
      <c r="L529" s="117"/>
      <c r="M529" s="118"/>
      <c r="N529" s="119"/>
    </row>
    <row r="530" spans="1:14" ht="16.5" customHeight="1" outlineLevel="2">
      <c r="B530" s="9"/>
      <c r="C530" s="536" t="s">
        <v>98</v>
      </c>
      <c r="D530" s="537"/>
      <c r="E530" s="537"/>
      <c r="F530" s="538"/>
      <c r="G530" s="116"/>
      <c r="H530" s="117"/>
      <c r="I530" s="118"/>
      <c r="J530" s="119"/>
      <c r="K530" s="116"/>
      <c r="L530" s="117"/>
      <c r="M530" s="118"/>
      <c r="N530" s="119"/>
    </row>
    <row r="531" spans="1:14" ht="16.5" customHeight="1" outlineLevel="2">
      <c r="B531" s="9"/>
      <c r="C531" s="539"/>
      <c r="D531" s="540"/>
      <c r="E531" s="540"/>
      <c r="F531" s="541"/>
      <c r="G531" s="116"/>
      <c r="H531" s="117"/>
      <c r="I531" s="118"/>
      <c r="J531" s="119"/>
      <c r="K531" s="116"/>
      <c r="L531" s="117"/>
      <c r="M531" s="118"/>
      <c r="N531" s="119"/>
    </row>
    <row r="532" spans="1:14" ht="16.5" customHeight="1" outlineLevel="2">
      <c r="B532" s="9"/>
      <c r="C532" s="539"/>
      <c r="D532" s="540"/>
      <c r="E532" s="540"/>
      <c r="F532" s="541"/>
      <c r="G532" s="116"/>
      <c r="H532" s="117"/>
      <c r="I532" s="118"/>
      <c r="J532" s="119"/>
      <c r="K532" s="116"/>
      <c r="L532" s="117"/>
      <c r="M532" s="118"/>
      <c r="N532" s="119"/>
    </row>
    <row r="533" spans="1:14" ht="16.5" customHeight="1" outlineLevel="2">
      <c r="B533" s="9"/>
      <c r="C533" s="542"/>
      <c r="D533" s="543"/>
      <c r="E533" s="543"/>
      <c r="F533" s="544"/>
      <c r="G533" s="116"/>
      <c r="H533" s="117"/>
      <c r="I533" s="118"/>
      <c r="J533" s="119"/>
      <c r="K533" s="116"/>
      <c r="L533" s="117"/>
      <c r="M533" s="118"/>
      <c r="N533" s="119"/>
    </row>
    <row r="534" spans="1:14" ht="16.5" customHeight="1" outlineLevel="1">
      <c r="B534" s="9"/>
      <c r="C534" s="9"/>
      <c r="D534" s="9"/>
      <c r="E534" s="9"/>
      <c r="F534" s="9"/>
      <c r="G534" s="116"/>
      <c r="H534" s="117"/>
      <c r="I534" s="118"/>
      <c r="J534" s="119"/>
      <c r="K534" s="116"/>
      <c r="L534" s="117"/>
      <c r="M534" s="118"/>
      <c r="N534" s="119"/>
    </row>
    <row r="535" spans="1:14" ht="16.5" customHeight="1" outlineLevel="1">
      <c r="B535" s="9"/>
      <c r="C535" s="9"/>
      <c r="D535" s="9"/>
      <c r="E535" s="9"/>
      <c r="F535" s="9"/>
      <c r="G535" s="116"/>
      <c r="H535" s="117"/>
      <c r="I535" s="118"/>
      <c r="J535" s="119"/>
      <c r="K535" s="116"/>
      <c r="L535" s="117"/>
      <c r="M535" s="118"/>
      <c r="N535" s="119"/>
    </row>
    <row r="536" spans="1:14" ht="16.5" customHeight="1">
      <c r="B536" s="9"/>
      <c r="C536" s="9"/>
      <c r="D536" s="9"/>
      <c r="E536" s="9"/>
      <c r="F536" s="9"/>
      <c r="G536" s="116"/>
      <c r="H536" s="117"/>
      <c r="I536" s="118"/>
      <c r="J536" s="119"/>
      <c r="K536" s="116"/>
      <c r="L536" s="117"/>
      <c r="M536" s="118"/>
      <c r="N536" s="119"/>
    </row>
    <row r="537" spans="1:14" ht="16.5" customHeight="1">
      <c r="G537" s="116"/>
      <c r="H537" s="117"/>
      <c r="I537" s="118"/>
      <c r="J537" s="119"/>
      <c r="K537" s="116"/>
      <c r="L537" s="117"/>
      <c r="M537" s="118"/>
      <c r="N537" s="119"/>
    </row>
    <row r="538" spans="1:14" ht="16.5" customHeight="1">
      <c r="A538" s="10"/>
      <c r="B538" s="259" t="s">
        <v>1168</v>
      </c>
      <c r="C538" s="10"/>
      <c r="D538" s="10"/>
      <c r="E538" s="10"/>
      <c r="F538" s="10"/>
      <c r="G538" s="116"/>
      <c r="H538" s="117"/>
      <c r="I538" s="118"/>
      <c r="J538" s="119"/>
      <c r="K538" s="116"/>
      <c r="L538" s="117"/>
      <c r="M538" s="118"/>
      <c r="N538" s="119"/>
    </row>
    <row r="539" spans="1:14" ht="16.5" customHeight="1" outlineLevel="1">
      <c r="B539" s="10"/>
      <c r="C539" s="10"/>
      <c r="D539" s="36" t="s">
        <v>108</v>
      </c>
      <c r="E539" s="36" t="s">
        <v>109</v>
      </c>
      <c r="F539" s="36" t="s">
        <v>110</v>
      </c>
      <c r="G539" s="116"/>
      <c r="H539" s="117"/>
      <c r="I539" s="118"/>
      <c r="J539" s="119"/>
      <c r="K539" s="116"/>
      <c r="L539" s="117"/>
      <c r="M539" s="118"/>
      <c r="N539" s="119"/>
    </row>
    <row r="540" spans="1:14" ht="16.5" customHeight="1" outlineLevel="1">
      <c r="B540" s="10"/>
      <c r="C540" s="10"/>
      <c r="D540" s="37"/>
      <c r="E540" s="37"/>
      <c r="F540" s="38"/>
      <c r="G540" s="116"/>
      <c r="H540" s="117"/>
      <c r="I540" s="118"/>
      <c r="J540" s="119"/>
      <c r="K540" s="116"/>
      <c r="L540" s="117"/>
      <c r="M540" s="118"/>
      <c r="N540" s="119"/>
    </row>
    <row r="541" spans="1:14" ht="16.5" customHeight="1" outlineLevel="1">
      <c r="B541" s="10"/>
      <c r="C541" s="10"/>
      <c r="D541" s="583" t="s">
        <v>111</v>
      </c>
      <c r="E541" s="583"/>
      <c r="F541" s="583"/>
      <c r="G541" s="116"/>
      <c r="H541" s="117"/>
      <c r="I541" s="118"/>
      <c r="J541" s="119"/>
      <c r="K541" s="116"/>
      <c r="L541" s="117"/>
      <c r="M541" s="118"/>
      <c r="N541" s="119"/>
    </row>
    <row r="542" spans="1:14" ht="16.5" customHeight="1" outlineLevel="1">
      <c r="B542" s="10"/>
      <c r="C542" s="10"/>
      <c r="D542" s="584"/>
      <c r="E542" s="584"/>
      <c r="F542" s="584"/>
      <c r="G542" s="116"/>
      <c r="H542" s="117"/>
      <c r="I542" s="118"/>
      <c r="J542" s="119"/>
      <c r="K542" s="116"/>
      <c r="L542" s="117"/>
      <c r="M542" s="118"/>
      <c r="N542" s="119"/>
    </row>
    <row r="543" spans="1:14" ht="16.5" customHeight="1" outlineLevel="1">
      <c r="B543" s="10"/>
      <c r="C543" s="10"/>
      <c r="D543" s="584"/>
      <c r="E543" s="584"/>
      <c r="F543" s="584"/>
      <c r="G543" s="116"/>
      <c r="H543" s="117"/>
      <c r="I543" s="118"/>
      <c r="J543" s="119"/>
      <c r="K543" s="116"/>
      <c r="L543" s="117"/>
      <c r="M543" s="118"/>
      <c r="N543" s="119"/>
    </row>
    <row r="544" spans="1:14" ht="16.5" customHeight="1" outlineLevel="1">
      <c r="B544" s="10"/>
      <c r="C544" s="10"/>
      <c r="D544" s="10"/>
      <c r="E544" s="10"/>
      <c r="F544" s="10"/>
      <c r="G544" s="116"/>
      <c r="H544" s="117"/>
      <c r="I544" s="118"/>
      <c r="J544" s="119"/>
      <c r="K544" s="116"/>
      <c r="L544" s="117"/>
      <c r="M544" s="118"/>
      <c r="N544" s="119"/>
    </row>
    <row r="545" spans="1:14" ht="16.5" customHeight="1" outlineLevel="1" thickBot="1">
      <c r="A545" s="10"/>
      <c r="B545" s="46" t="s">
        <v>1170</v>
      </c>
      <c r="C545" s="46" t="s">
        <v>522</v>
      </c>
      <c r="D545" s="10"/>
      <c r="E545" s="10"/>
      <c r="F545" s="10"/>
      <c r="G545" s="116"/>
      <c r="H545" s="117"/>
      <c r="I545" s="118"/>
      <c r="J545" s="119"/>
      <c r="K545" s="116"/>
      <c r="L545" s="117"/>
      <c r="M545" s="118"/>
      <c r="N545" s="119"/>
    </row>
    <row r="546" spans="1:14" ht="16.5" customHeight="1" outlineLevel="2">
      <c r="B546" s="10"/>
      <c r="C546" s="10"/>
      <c r="D546" s="575" t="s">
        <v>524</v>
      </c>
      <c r="E546" s="576"/>
      <c r="F546" s="261" t="s">
        <v>518</v>
      </c>
      <c r="G546" s="98"/>
      <c r="H546" s="95"/>
      <c r="I546" s="96"/>
      <c r="J546" s="97"/>
      <c r="K546" s="98"/>
      <c r="L546" s="95"/>
      <c r="M546" s="96"/>
      <c r="N546" s="99"/>
    </row>
    <row r="547" spans="1:14" ht="16.5" customHeight="1" outlineLevel="2">
      <c r="B547" s="10"/>
      <c r="C547" s="10"/>
      <c r="D547" s="577"/>
      <c r="E547" s="578"/>
      <c r="F547" s="260" t="s">
        <v>519</v>
      </c>
      <c r="G547" s="104"/>
      <c r="H547" s="101"/>
      <c r="I547" s="102"/>
      <c r="J547" s="103"/>
      <c r="K547" s="104"/>
      <c r="L547" s="101"/>
      <c r="M547" s="102"/>
      <c r="N547" s="105"/>
    </row>
    <row r="548" spans="1:14" ht="16.5" customHeight="1" outlineLevel="2">
      <c r="B548" s="10"/>
      <c r="C548" s="10"/>
      <c r="D548" s="577"/>
      <c r="E548" s="578"/>
      <c r="F548" s="260" t="s">
        <v>521</v>
      </c>
      <c r="G548" s="104"/>
      <c r="H548" s="101"/>
      <c r="I548" s="102"/>
      <c r="J548" s="103"/>
      <c r="K548" s="104"/>
      <c r="L548" s="101"/>
      <c r="M548" s="102"/>
      <c r="N548" s="105"/>
    </row>
    <row r="549" spans="1:14" ht="16.5" customHeight="1" outlineLevel="2" thickBot="1">
      <c r="B549" s="10"/>
      <c r="C549" s="10"/>
      <c r="D549" s="579"/>
      <c r="E549" s="580"/>
      <c r="F549" s="262" t="s">
        <v>520</v>
      </c>
      <c r="G549" s="110"/>
      <c r="H549" s="107"/>
      <c r="I549" s="108"/>
      <c r="J549" s="109"/>
      <c r="K549" s="110"/>
      <c r="L549" s="107"/>
      <c r="M549" s="108"/>
      <c r="N549" s="111"/>
    </row>
    <row r="550" spans="1:14" ht="16.5" customHeight="1" outlineLevel="2">
      <c r="B550" s="10"/>
      <c r="C550" s="10"/>
      <c r="D550" s="10"/>
      <c r="E550" s="10"/>
      <c r="F550" s="10"/>
      <c r="G550" s="116"/>
      <c r="H550" s="117"/>
      <c r="I550" s="118"/>
      <c r="J550" s="119"/>
      <c r="K550" s="116"/>
      <c r="L550" s="117"/>
      <c r="M550" s="118"/>
      <c r="N550" s="119"/>
    </row>
    <row r="551" spans="1:14" ht="16.5" customHeight="1" outlineLevel="2">
      <c r="B551" s="10"/>
      <c r="C551" s="536" t="s">
        <v>98</v>
      </c>
      <c r="D551" s="537"/>
      <c r="E551" s="537"/>
      <c r="F551" s="538"/>
      <c r="G551" s="116"/>
      <c r="H551" s="117"/>
      <c r="I551" s="118"/>
      <c r="J551" s="119"/>
      <c r="K551" s="116"/>
      <c r="L551" s="117"/>
      <c r="M551" s="118"/>
      <c r="N551" s="119"/>
    </row>
    <row r="552" spans="1:14" ht="16.5" customHeight="1" outlineLevel="2">
      <c r="B552" s="10"/>
      <c r="C552" s="539"/>
      <c r="D552" s="540"/>
      <c r="E552" s="540"/>
      <c r="F552" s="541"/>
      <c r="G552" s="116"/>
      <c r="H552" s="117"/>
      <c r="I552" s="118"/>
      <c r="J552" s="119"/>
      <c r="K552" s="116"/>
      <c r="L552" s="117"/>
      <c r="M552" s="118"/>
      <c r="N552" s="119"/>
    </row>
    <row r="553" spans="1:14" ht="16.5" customHeight="1" outlineLevel="2">
      <c r="B553" s="10"/>
      <c r="C553" s="539"/>
      <c r="D553" s="540"/>
      <c r="E553" s="540"/>
      <c r="F553" s="541"/>
      <c r="G553" s="116"/>
      <c r="H553" s="117"/>
      <c r="I553" s="118"/>
      <c r="J553" s="119"/>
      <c r="K553" s="116"/>
      <c r="L553" s="117"/>
      <c r="M553" s="118"/>
      <c r="N553" s="119"/>
    </row>
    <row r="554" spans="1:14" ht="16.5" customHeight="1" outlineLevel="2">
      <c r="B554" s="10"/>
      <c r="C554" s="542"/>
      <c r="D554" s="543"/>
      <c r="E554" s="543"/>
      <c r="F554" s="544"/>
      <c r="G554" s="116"/>
      <c r="H554" s="117"/>
      <c r="I554" s="118"/>
      <c r="J554" s="119"/>
      <c r="K554" s="116"/>
      <c r="L554" s="117"/>
      <c r="M554" s="118"/>
      <c r="N554" s="119"/>
    </row>
    <row r="555" spans="1:14" ht="16.5" customHeight="1" outlineLevel="2">
      <c r="B555" s="10"/>
      <c r="C555" s="10"/>
      <c r="D555" s="10"/>
      <c r="E555" s="10"/>
      <c r="F555" s="10"/>
      <c r="G555" s="116"/>
      <c r="H555" s="117"/>
      <c r="I555" s="118"/>
      <c r="J555" s="119"/>
      <c r="K555" s="116"/>
      <c r="L555" s="117"/>
      <c r="M555" s="118"/>
      <c r="N555" s="119"/>
    </row>
    <row r="556" spans="1:14" ht="16.5" customHeight="1" outlineLevel="1">
      <c r="B556" s="10"/>
      <c r="C556" s="10"/>
      <c r="D556" s="10"/>
      <c r="E556" s="10"/>
      <c r="F556" s="10"/>
      <c r="G556" s="116"/>
      <c r="H556" s="117"/>
      <c r="I556" s="118"/>
      <c r="J556" s="119"/>
      <c r="K556" s="116"/>
      <c r="L556" s="117"/>
      <c r="M556" s="118"/>
      <c r="N556" s="119"/>
    </row>
    <row r="557" spans="1:14" ht="16.5" customHeight="1" outlineLevel="1" thickBot="1">
      <c r="A557" s="10"/>
      <c r="B557" s="46" t="s">
        <v>1170</v>
      </c>
      <c r="C557" s="46" t="s">
        <v>523</v>
      </c>
      <c r="D557" s="10"/>
      <c r="E557" s="10"/>
      <c r="F557" s="10"/>
      <c r="G557" s="116"/>
      <c r="H557" s="117"/>
      <c r="I557" s="118"/>
      <c r="J557" s="119"/>
      <c r="K557" s="116"/>
      <c r="L557" s="117"/>
      <c r="M557" s="118"/>
      <c r="N557" s="119"/>
    </row>
    <row r="558" spans="1:14" ht="16.5" customHeight="1" outlineLevel="2">
      <c r="B558" s="10"/>
      <c r="C558" s="10"/>
      <c r="D558" s="575" t="s">
        <v>524</v>
      </c>
      <c r="E558" s="576"/>
      <c r="F558" s="261" t="s">
        <v>518</v>
      </c>
      <c r="G558" s="98"/>
      <c r="H558" s="95"/>
      <c r="I558" s="96"/>
      <c r="J558" s="97"/>
      <c r="K558" s="98"/>
      <c r="L558" s="95"/>
      <c r="M558" s="96"/>
      <c r="N558" s="99"/>
    </row>
    <row r="559" spans="1:14" ht="16.5" customHeight="1" outlineLevel="2">
      <c r="B559" s="10"/>
      <c r="C559" s="10"/>
      <c r="D559" s="577"/>
      <c r="E559" s="578"/>
      <c r="F559" s="260" t="s">
        <v>519</v>
      </c>
      <c r="G559" s="104"/>
      <c r="H559" s="101"/>
      <c r="I559" s="102"/>
      <c r="J559" s="103"/>
      <c r="K559" s="104"/>
      <c r="L559" s="101"/>
      <c r="M559" s="102"/>
      <c r="N559" s="105"/>
    </row>
    <row r="560" spans="1:14" ht="16.5" customHeight="1" outlineLevel="2">
      <c r="B560" s="10"/>
      <c r="C560" s="10"/>
      <c r="D560" s="577"/>
      <c r="E560" s="578"/>
      <c r="F560" s="260" t="s">
        <v>521</v>
      </c>
      <c r="G560" s="104"/>
      <c r="H560" s="101"/>
      <c r="I560" s="102"/>
      <c r="J560" s="103"/>
      <c r="K560" s="104"/>
      <c r="L560" s="101"/>
      <c r="M560" s="102"/>
      <c r="N560" s="105"/>
    </row>
    <row r="561" spans="1:14" ht="16.5" customHeight="1" outlineLevel="2" thickBot="1">
      <c r="B561" s="10"/>
      <c r="C561" s="10"/>
      <c r="D561" s="579"/>
      <c r="E561" s="580"/>
      <c r="F561" s="262" t="s">
        <v>520</v>
      </c>
      <c r="G561" s="110"/>
      <c r="H561" s="107"/>
      <c r="I561" s="108"/>
      <c r="J561" s="109"/>
      <c r="K561" s="110"/>
      <c r="L561" s="107"/>
      <c r="M561" s="108"/>
      <c r="N561" s="111"/>
    </row>
    <row r="562" spans="1:14" ht="16.5" customHeight="1" outlineLevel="2">
      <c r="B562" s="10"/>
      <c r="C562" s="10"/>
      <c r="D562" s="10"/>
      <c r="E562" s="10"/>
      <c r="F562" s="10"/>
      <c r="G562" s="116"/>
      <c r="H562" s="117"/>
      <c r="I562" s="118"/>
      <c r="J562" s="119"/>
      <c r="K562" s="116"/>
      <c r="L562" s="117"/>
      <c r="M562" s="118"/>
      <c r="N562" s="119"/>
    </row>
    <row r="563" spans="1:14" ht="16.5" customHeight="1" outlineLevel="2">
      <c r="B563" s="10"/>
      <c r="C563" s="536" t="s">
        <v>98</v>
      </c>
      <c r="D563" s="537"/>
      <c r="E563" s="537"/>
      <c r="F563" s="538"/>
      <c r="G563" s="116"/>
      <c r="H563" s="117"/>
      <c r="I563" s="118"/>
      <c r="J563" s="119"/>
      <c r="K563" s="116"/>
      <c r="L563" s="117"/>
      <c r="M563" s="118"/>
      <c r="N563" s="119"/>
    </row>
    <row r="564" spans="1:14" ht="16.5" customHeight="1" outlineLevel="2">
      <c r="B564" s="10"/>
      <c r="C564" s="737"/>
      <c r="D564" s="738"/>
      <c r="E564" s="738"/>
      <c r="F564" s="739"/>
      <c r="G564" s="116"/>
      <c r="H564" s="117"/>
      <c r="I564" s="118"/>
      <c r="J564" s="119"/>
      <c r="K564" s="116"/>
      <c r="L564" s="117"/>
      <c r="M564" s="118"/>
      <c r="N564" s="119"/>
    </row>
    <row r="565" spans="1:14" ht="16.5" customHeight="1" outlineLevel="2">
      <c r="B565" s="10"/>
      <c r="C565" s="737"/>
      <c r="D565" s="738"/>
      <c r="E565" s="738"/>
      <c r="F565" s="739"/>
      <c r="G565" s="116"/>
      <c r="H565" s="117"/>
      <c r="I565" s="118"/>
      <c r="J565" s="119"/>
      <c r="K565" s="116"/>
      <c r="L565" s="117"/>
      <c r="M565" s="118"/>
      <c r="N565" s="119"/>
    </row>
    <row r="566" spans="1:14" ht="16.5" customHeight="1" outlineLevel="2">
      <c r="B566" s="10"/>
      <c r="C566" s="785"/>
      <c r="D566" s="786"/>
      <c r="E566" s="786"/>
      <c r="F566" s="787"/>
      <c r="G566" s="116"/>
      <c r="H566" s="117"/>
      <c r="I566" s="118"/>
      <c r="J566" s="119"/>
      <c r="K566" s="116"/>
      <c r="L566" s="117"/>
      <c r="M566" s="118"/>
      <c r="N566" s="119"/>
    </row>
    <row r="567" spans="1:14" ht="16.5" customHeight="1" outlineLevel="1">
      <c r="B567" s="10"/>
      <c r="C567" s="10"/>
      <c r="D567" s="10"/>
      <c r="E567" s="10"/>
      <c r="F567" s="10"/>
      <c r="G567" s="116"/>
      <c r="H567" s="117"/>
      <c r="I567" s="118"/>
      <c r="J567" s="119"/>
      <c r="K567" s="116"/>
      <c r="L567" s="117"/>
      <c r="M567" s="118"/>
      <c r="N567" s="119"/>
    </row>
    <row r="568" spans="1:14" ht="16.5" customHeight="1">
      <c r="B568" s="10"/>
      <c r="C568" s="10"/>
      <c r="D568" s="10"/>
      <c r="E568" s="10"/>
      <c r="F568" s="10"/>
      <c r="G568" s="116"/>
      <c r="H568" s="117"/>
      <c r="I568" s="118"/>
      <c r="J568" s="119"/>
      <c r="K568" s="116"/>
      <c r="L568" s="117"/>
      <c r="M568" s="118"/>
      <c r="N568" s="119"/>
    </row>
    <row r="569" spans="1:14" ht="16.5" customHeight="1">
      <c r="G569" s="116"/>
      <c r="H569" s="117"/>
      <c r="I569" s="118"/>
      <c r="J569" s="119"/>
      <c r="K569" s="116"/>
      <c r="L569" s="117"/>
      <c r="M569" s="118"/>
      <c r="N569" s="119"/>
    </row>
    <row r="570" spans="1:14" ht="21">
      <c r="A570" s="8"/>
      <c r="B570" s="32" t="s">
        <v>1172</v>
      </c>
      <c r="C570" s="8"/>
      <c r="D570" s="8"/>
      <c r="E570" s="8"/>
      <c r="F570" s="8"/>
      <c r="G570" s="116"/>
      <c r="H570" s="117"/>
      <c r="I570" s="118"/>
      <c r="J570" s="119"/>
      <c r="K570" s="116"/>
      <c r="L570" s="117"/>
      <c r="M570" s="118"/>
      <c r="N570" s="119"/>
    </row>
    <row r="571" spans="1:14" outlineLevel="1">
      <c r="B571" s="8"/>
      <c r="C571" s="8"/>
      <c r="D571" s="8"/>
      <c r="E571" s="8"/>
      <c r="F571" s="8"/>
      <c r="G571" s="116"/>
      <c r="H571" s="117"/>
      <c r="I571" s="118"/>
      <c r="J571" s="119"/>
      <c r="K571" s="116"/>
      <c r="L571" s="117"/>
      <c r="M571" s="118"/>
      <c r="N571" s="119"/>
    </row>
    <row r="572" spans="1:14" outlineLevel="1">
      <c r="B572" s="8"/>
      <c r="C572" s="8"/>
      <c r="D572" s="8"/>
      <c r="E572" s="8"/>
      <c r="F572" s="8"/>
      <c r="G572" s="116"/>
      <c r="H572" s="117"/>
      <c r="I572" s="118"/>
      <c r="J572" s="119"/>
      <c r="K572" s="116"/>
      <c r="L572" s="117"/>
      <c r="M572" s="118"/>
      <c r="N572" s="119"/>
    </row>
    <row r="573" spans="1:14" outlineLevel="1">
      <c r="B573" s="62" t="s">
        <v>1173</v>
      </c>
      <c r="C573" s="62" t="s">
        <v>385</v>
      </c>
      <c r="D573" s="8"/>
      <c r="E573" s="8"/>
      <c r="F573" s="8"/>
      <c r="G573" s="116"/>
      <c r="H573" s="117"/>
      <c r="I573" s="118"/>
      <c r="J573" s="119"/>
      <c r="K573" s="116"/>
      <c r="L573" s="117"/>
      <c r="M573" s="118"/>
      <c r="N573" s="119"/>
    </row>
    <row r="574" spans="1:14" outlineLevel="1">
      <c r="B574" s="8"/>
      <c r="C574" s="8"/>
      <c r="D574" s="36" t="s">
        <v>108</v>
      </c>
      <c r="E574" s="36" t="s">
        <v>109</v>
      </c>
      <c r="F574" s="36" t="s">
        <v>110</v>
      </c>
      <c r="G574" s="116"/>
      <c r="H574" s="117"/>
      <c r="I574" s="118"/>
      <c r="J574" s="119"/>
      <c r="K574" s="116"/>
      <c r="L574" s="117"/>
      <c r="M574" s="118"/>
      <c r="N574" s="119"/>
    </row>
    <row r="575" spans="1:14" outlineLevel="1">
      <c r="B575" s="8"/>
      <c r="C575" s="8"/>
      <c r="D575" s="37"/>
      <c r="E575" s="37"/>
      <c r="F575" s="38"/>
      <c r="G575" s="116"/>
      <c r="H575" s="117"/>
      <c r="I575" s="118"/>
      <c r="J575" s="119"/>
      <c r="K575" s="116"/>
      <c r="L575" s="117"/>
      <c r="M575" s="118"/>
      <c r="N575" s="119"/>
    </row>
    <row r="576" spans="1:14" ht="15" outlineLevel="1" thickBot="1">
      <c r="B576" s="8"/>
      <c r="C576" s="8"/>
      <c r="D576" s="8"/>
      <c r="E576" s="8"/>
      <c r="F576" s="8"/>
      <c r="G576" s="116"/>
      <c r="H576" s="117"/>
      <c r="I576" s="118"/>
      <c r="J576" s="119"/>
      <c r="K576" s="116"/>
      <c r="L576" s="117"/>
      <c r="M576" s="118"/>
      <c r="N576" s="119"/>
    </row>
    <row r="577" spans="1:14" ht="15" outlineLevel="1" thickBot="1">
      <c r="B577" s="8"/>
      <c r="C577" s="595" t="s">
        <v>111</v>
      </c>
      <c r="D577" s="595"/>
      <c r="E577" s="8"/>
      <c r="F577" s="78" t="s">
        <v>171</v>
      </c>
      <c r="G577" s="129"/>
      <c r="H577" s="130"/>
      <c r="I577" s="131"/>
      <c r="J577" s="132"/>
      <c r="K577" s="133"/>
      <c r="L577" s="130"/>
      <c r="M577" s="131"/>
      <c r="N577" s="134"/>
    </row>
    <row r="578" spans="1:14" outlineLevel="1">
      <c r="B578" s="8"/>
      <c r="C578" s="595"/>
      <c r="D578" s="595"/>
      <c r="E578" s="8"/>
      <c r="F578" s="8"/>
      <c r="G578" s="116"/>
      <c r="H578" s="117"/>
      <c r="I578" s="118"/>
      <c r="J578" s="119"/>
      <c r="K578" s="116"/>
      <c r="L578" s="117"/>
      <c r="M578" s="118"/>
      <c r="N578" s="119"/>
    </row>
    <row r="579" spans="1:14" outlineLevel="1">
      <c r="B579" s="8"/>
      <c r="C579" s="8" t="s">
        <v>382</v>
      </c>
      <c r="D579" s="8"/>
      <c r="E579" s="8" t="s">
        <v>383</v>
      </c>
      <c r="F579" s="8"/>
      <c r="G579" s="116"/>
      <c r="H579" s="117"/>
      <c r="I579" s="118"/>
      <c r="J579" s="119"/>
      <c r="K579" s="116"/>
      <c r="L579" s="117"/>
      <c r="M579" s="118"/>
      <c r="N579" s="119"/>
    </row>
    <row r="580" spans="1:14" outlineLevel="1">
      <c r="B580" s="525"/>
      <c r="C580" s="168"/>
      <c r="D580" s="168"/>
      <c r="E580" s="8" t="s">
        <v>384</v>
      </c>
      <c r="F580" s="8"/>
      <c r="G580" s="116"/>
      <c r="H580" s="117"/>
      <c r="I580" s="118"/>
      <c r="J580" s="119"/>
      <c r="K580" s="116"/>
      <c r="L580" s="117"/>
      <c r="M580" s="118"/>
      <c r="N580" s="119"/>
    </row>
    <row r="581" spans="1:14" outlineLevel="1">
      <c r="B581" s="524"/>
      <c r="C581" s="8"/>
      <c r="D581" s="8"/>
      <c r="E581" s="8"/>
      <c r="F581" s="8"/>
      <c r="G581" s="116"/>
      <c r="H581" s="117"/>
      <c r="I581" s="118"/>
      <c r="J581" s="119"/>
      <c r="K581" s="116"/>
      <c r="L581" s="117"/>
      <c r="M581" s="118"/>
      <c r="N581" s="119"/>
    </row>
    <row r="582" spans="1:14" outlineLevel="1">
      <c r="B582" s="8"/>
      <c r="C582" s="8"/>
      <c r="D582" s="8"/>
      <c r="E582" s="8"/>
      <c r="F582" s="8"/>
      <c r="G582" s="116"/>
      <c r="H582" s="117"/>
      <c r="I582" s="118"/>
      <c r="J582" s="119"/>
      <c r="K582" s="116"/>
      <c r="L582" s="117"/>
      <c r="M582" s="118"/>
      <c r="N582" s="119"/>
    </row>
    <row r="583" spans="1:14" outlineLevel="1">
      <c r="B583" s="8"/>
      <c r="C583" s="536" t="s">
        <v>98</v>
      </c>
      <c r="D583" s="537"/>
      <c r="E583" s="537"/>
      <c r="F583" s="538"/>
      <c r="G583" s="116"/>
      <c r="H583" s="117"/>
      <c r="I583" s="118"/>
      <c r="J583" s="119"/>
      <c r="K583" s="116"/>
      <c r="L583" s="117"/>
      <c r="M583" s="118"/>
      <c r="N583" s="119"/>
    </row>
    <row r="584" spans="1:14" outlineLevel="1">
      <c r="B584" s="8"/>
      <c r="C584" s="539"/>
      <c r="D584" s="540"/>
      <c r="E584" s="540"/>
      <c r="F584" s="541"/>
      <c r="G584" s="116"/>
      <c r="H584" s="117"/>
      <c r="I584" s="118"/>
      <c r="J584" s="119"/>
      <c r="K584" s="116"/>
      <c r="L584" s="117"/>
      <c r="M584" s="118"/>
      <c r="N584" s="119"/>
    </row>
    <row r="585" spans="1:14" outlineLevel="1">
      <c r="B585" s="8"/>
      <c r="C585" s="539"/>
      <c r="D585" s="540"/>
      <c r="E585" s="540"/>
      <c r="F585" s="541"/>
      <c r="G585" s="116"/>
      <c r="H585" s="117"/>
      <c r="I585" s="118"/>
      <c r="J585" s="119"/>
      <c r="K585" s="116"/>
      <c r="L585" s="117"/>
      <c r="M585" s="118"/>
      <c r="N585" s="119"/>
    </row>
    <row r="586" spans="1:14" outlineLevel="1">
      <c r="B586" s="8"/>
      <c r="C586" s="542"/>
      <c r="D586" s="543"/>
      <c r="E586" s="543"/>
      <c r="F586" s="544"/>
      <c r="G586" s="116"/>
      <c r="H586" s="117"/>
      <c r="I586" s="118"/>
      <c r="J586" s="119"/>
      <c r="K586" s="116"/>
      <c r="L586" s="117"/>
      <c r="M586" s="118"/>
      <c r="N586" s="119"/>
    </row>
    <row r="587" spans="1:14" outlineLevel="1">
      <c r="B587" s="8"/>
      <c r="C587" s="8"/>
      <c r="D587" s="8"/>
      <c r="E587" s="8"/>
      <c r="F587" s="8"/>
      <c r="G587" s="116"/>
      <c r="H587" s="117"/>
      <c r="I587" s="118"/>
      <c r="J587" s="119"/>
      <c r="K587" s="116"/>
      <c r="L587" s="117"/>
      <c r="M587" s="118"/>
      <c r="N587" s="119"/>
    </row>
    <row r="588" spans="1:14">
      <c r="B588" s="8"/>
      <c r="C588" s="8"/>
      <c r="D588" s="8"/>
      <c r="E588" s="8"/>
      <c r="F588" s="8"/>
      <c r="G588" s="116"/>
      <c r="H588" s="117"/>
      <c r="I588" s="118"/>
      <c r="J588" s="119"/>
      <c r="K588" s="116"/>
      <c r="L588" s="117"/>
      <c r="M588" s="118"/>
      <c r="N588" s="119"/>
    </row>
    <row r="589" spans="1:14">
      <c r="G589" s="116"/>
      <c r="H589" s="117"/>
      <c r="I589" s="118"/>
      <c r="J589" s="119"/>
      <c r="K589" s="116"/>
      <c r="L589" s="117"/>
      <c r="M589" s="118"/>
      <c r="N589" s="119"/>
    </row>
    <row r="590" spans="1:14" ht="21">
      <c r="A590" s="9"/>
      <c r="B590" s="79" t="s">
        <v>1174</v>
      </c>
      <c r="C590" s="9"/>
      <c r="D590" s="9"/>
      <c r="E590" s="9"/>
      <c r="F590" s="9"/>
      <c r="G590" s="116"/>
      <c r="H590" s="117"/>
      <c r="I590" s="118"/>
      <c r="J590" s="119"/>
      <c r="K590" s="116"/>
      <c r="L590" s="117"/>
      <c r="M590" s="118"/>
      <c r="N590" s="119"/>
    </row>
    <row r="591" spans="1:14" outlineLevel="1">
      <c r="B591" s="9"/>
      <c r="C591" s="9"/>
      <c r="D591" s="9"/>
      <c r="E591" s="9"/>
      <c r="F591" s="9"/>
      <c r="G591" s="116"/>
      <c r="H591" s="117"/>
      <c r="I591" s="118"/>
      <c r="J591" s="119"/>
      <c r="K591" s="116"/>
      <c r="L591" s="117"/>
      <c r="M591" s="118"/>
      <c r="N591" s="119"/>
    </row>
    <row r="592" spans="1:14" outlineLevel="1">
      <c r="B592" s="9"/>
      <c r="C592" s="9"/>
      <c r="D592" s="9"/>
      <c r="E592" s="9"/>
      <c r="F592" s="9"/>
      <c r="G592" s="116"/>
      <c r="H592" s="117"/>
      <c r="I592" s="118"/>
      <c r="J592" s="119"/>
      <c r="K592" s="116"/>
      <c r="L592" s="117"/>
      <c r="M592" s="118"/>
      <c r="N592" s="119"/>
    </row>
    <row r="593" spans="1:14" outlineLevel="1">
      <c r="A593" s="9"/>
      <c r="B593" s="61" t="s">
        <v>1176</v>
      </c>
      <c r="C593" s="61" t="s">
        <v>387</v>
      </c>
      <c r="D593" s="9"/>
      <c r="E593" s="9"/>
      <c r="F593" s="9"/>
      <c r="G593" s="116"/>
      <c r="H593" s="117"/>
      <c r="I593" s="118"/>
      <c r="J593" s="119"/>
      <c r="K593" s="116"/>
      <c r="L593" s="117"/>
      <c r="M593" s="118"/>
      <c r="N593" s="119"/>
    </row>
    <row r="594" spans="1:14" outlineLevel="1">
      <c r="B594" s="9"/>
      <c r="C594" s="9"/>
      <c r="D594" s="36" t="s">
        <v>108</v>
      </c>
      <c r="E594" s="36" t="s">
        <v>109</v>
      </c>
      <c r="F594" s="36" t="s">
        <v>110</v>
      </c>
      <c r="G594" s="116"/>
      <c r="H594" s="117"/>
      <c r="I594" s="118"/>
      <c r="J594" s="119"/>
      <c r="K594" s="116"/>
      <c r="L594" s="117"/>
      <c r="M594" s="118"/>
      <c r="N594" s="119"/>
    </row>
    <row r="595" spans="1:14" outlineLevel="1">
      <c r="B595" s="9"/>
      <c r="C595" s="9"/>
      <c r="D595" s="37"/>
      <c r="E595" s="37"/>
      <c r="F595" s="38"/>
      <c r="G595" s="116"/>
      <c r="H595" s="117"/>
      <c r="I595" s="118"/>
      <c r="J595" s="119"/>
      <c r="K595" s="116"/>
      <c r="L595" s="117"/>
      <c r="M595" s="118"/>
      <c r="N595" s="119"/>
    </row>
    <row r="596" spans="1:14" ht="15" outlineLevel="1" thickBot="1">
      <c r="B596" s="9"/>
      <c r="C596" s="9"/>
      <c r="D596" s="9"/>
      <c r="E596" s="9"/>
      <c r="F596" s="9"/>
      <c r="G596" s="116"/>
      <c r="H596" s="117"/>
      <c r="I596" s="118"/>
      <c r="J596" s="119"/>
      <c r="K596" s="116"/>
      <c r="L596" s="117"/>
      <c r="M596" s="118"/>
      <c r="N596" s="119"/>
    </row>
    <row r="597" spans="1:14" outlineLevel="1">
      <c r="B597" s="9"/>
      <c r="C597" s="758" t="s">
        <v>169</v>
      </c>
      <c r="D597" s="587" t="s">
        <v>168</v>
      </c>
      <c r="E597" s="588"/>
      <c r="F597" s="39" t="s">
        <v>166</v>
      </c>
      <c r="G597" s="94"/>
      <c r="H597" s="95"/>
      <c r="I597" s="96"/>
      <c r="J597" s="97"/>
      <c r="K597" s="98"/>
      <c r="L597" s="95"/>
      <c r="M597" s="96"/>
      <c r="N597" s="99"/>
    </row>
    <row r="598" spans="1:14" outlineLevel="1">
      <c r="B598" s="9"/>
      <c r="C598" s="758"/>
      <c r="D598" s="589"/>
      <c r="E598" s="590"/>
      <c r="F598" s="41" t="s">
        <v>165</v>
      </c>
      <c r="G598" s="100"/>
      <c r="H598" s="101"/>
      <c r="I598" s="102"/>
      <c r="J598" s="103"/>
      <c r="K598" s="104"/>
      <c r="L598" s="101"/>
      <c r="M598" s="102"/>
      <c r="N598" s="105"/>
    </row>
    <row r="599" spans="1:14" ht="15" outlineLevel="1" thickBot="1">
      <c r="B599" s="9"/>
      <c r="C599" s="758"/>
      <c r="D599" s="591"/>
      <c r="E599" s="592"/>
      <c r="F599" s="43" t="s">
        <v>167</v>
      </c>
      <c r="G599" s="106"/>
      <c r="H599" s="107"/>
      <c r="I599" s="108"/>
      <c r="J599" s="109"/>
      <c r="K599" s="110"/>
      <c r="L599" s="107"/>
      <c r="M599" s="108"/>
      <c r="N599" s="111"/>
    </row>
    <row r="600" spans="1:14" outlineLevel="1">
      <c r="B600" s="9"/>
      <c r="C600" s="9"/>
      <c r="D600" s="9"/>
      <c r="E600" s="9"/>
      <c r="F600" s="9"/>
      <c r="G600" s="116"/>
      <c r="H600" s="117"/>
      <c r="I600" s="118"/>
      <c r="J600" s="119"/>
      <c r="K600" s="116"/>
      <c r="L600" s="117"/>
      <c r="M600" s="118"/>
      <c r="N600" s="119"/>
    </row>
    <row r="601" spans="1:14" outlineLevel="1">
      <c r="B601" s="9"/>
      <c r="C601" s="536" t="s">
        <v>98</v>
      </c>
      <c r="D601" s="537"/>
      <c r="E601" s="537"/>
      <c r="F601" s="538"/>
      <c r="G601" s="116"/>
      <c r="H601" s="117"/>
      <c r="I601" s="118"/>
      <c r="J601" s="119"/>
      <c r="K601" s="116"/>
      <c r="L601" s="117"/>
      <c r="M601" s="118"/>
      <c r="N601" s="119"/>
    </row>
    <row r="602" spans="1:14" outlineLevel="1">
      <c r="B602" s="9"/>
      <c r="C602" s="539"/>
      <c r="D602" s="540"/>
      <c r="E602" s="540"/>
      <c r="F602" s="541"/>
      <c r="G602" s="116"/>
      <c r="H602" s="117"/>
      <c r="I602" s="118"/>
      <c r="J602" s="119"/>
      <c r="K602" s="116"/>
      <c r="L602" s="117"/>
      <c r="M602" s="118"/>
      <c r="N602" s="119"/>
    </row>
    <row r="603" spans="1:14" outlineLevel="1">
      <c r="B603" s="9"/>
      <c r="C603" s="539"/>
      <c r="D603" s="540"/>
      <c r="E603" s="540"/>
      <c r="F603" s="541"/>
      <c r="G603" s="116"/>
      <c r="H603" s="117"/>
      <c r="I603" s="118"/>
      <c r="J603" s="119"/>
      <c r="K603" s="116"/>
      <c r="L603" s="117"/>
      <c r="M603" s="118"/>
      <c r="N603" s="119"/>
    </row>
    <row r="604" spans="1:14" outlineLevel="1">
      <c r="B604" s="9"/>
      <c r="C604" s="542"/>
      <c r="D604" s="543"/>
      <c r="E604" s="543"/>
      <c r="F604" s="544"/>
      <c r="G604" s="116"/>
      <c r="H604" s="117"/>
      <c r="I604" s="118"/>
      <c r="J604" s="119"/>
      <c r="K604" s="116"/>
      <c r="L604" s="117"/>
      <c r="M604" s="118"/>
      <c r="N604" s="119"/>
    </row>
    <row r="605" spans="1:14" outlineLevel="1">
      <c r="B605" s="9"/>
      <c r="C605" s="9"/>
      <c r="D605" s="9"/>
      <c r="E605" s="9"/>
      <c r="F605" s="9"/>
      <c r="G605" s="116"/>
      <c r="H605" s="117"/>
      <c r="I605" s="118"/>
      <c r="J605" s="119"/>
      <c r="K605" s="116"/>
      <c r="L605" s="117"/>
      <c r="M605" s="118"/>
      <c r="N605" s="119"/>
    </row>
    <row r="606" spans="1:14" outlineLevel="1">
      <c r="B606" s="9"/>
      <c r="C606" s="9"/>
      <c r="D606" s="9"/>
      <c r="E606" s="9"/>
      <c r="F606" s="9"/>
      <c r="G606" s="116"/>
      <c r="H606" s="117"/>
      <c r="I606" s="118"/>
      <c r="J606" s="119"/>
      <c r="K606" s="116"/>
      <c r="L606" s="117"/>
      <c r="M606" s="118"/>
      <c r="N606" s="119"/>
    </row>
    <row r="607" spans="1:14" outlineLevel="1">
      <c r="B607" s="19"/>
      <c r="C607" s="19"/>
      <c r="D607" s="19"/>
      <c r="E607" s="19"/>
      <c r="F607" s="19"/>
      <c r="G607" s="116"/>
      <c r="H607" s="117"/>
      <c r="I607" s="118"/>
      <c r="J607" s="119"/>
      <c r="K607" s="116"/>
      <c r="L607" s="117"/>
      <c r="M607" s="118"/>
      <c r="N607" s="119"/>
    </row>
    <row r="608" spans="1:14" outlineLevel="1">
      <c r="A608" s="19"/>
      <c r="B608" s="54" t="s">
        <v>1177</v>
      </c>
      <c r="C608" s="54" t="s">
        <v>388</v>
      </c>
      <c r="D608" s="19"/>
      <c r="E608" s="19"/>
      <c r="F608" s="19"/>
      <c r="G608" s="116"/>
      <c r="H608" s="117"/>
      <c r="I608" s="118"/>
      <c r="J608" s="119"/>
      <c r="K608" s="116"/>
      <c r="L608" s="117"/>
      <c r="M608" s="118"/>
      <c r="N608" s="119"/>
    </row>
    <row r="609" spans="1:14" outlineLevel="1">
      <c r="B609" s="19"/>
      <c r="C609" s="19"/>
      <c r="D609" s="36" t="s">
        <v>108</v>
      </c>
      <c r="E609" s="36" t="s">
        <v>109</v>
      </c>
      <c r="F609" s="36" t="s">
        <v>110</v>
      </c>
      <c r="G609" s="116"/>
      <c r="H609" s="117"/>
      <c r="I609" s="118"/>
      <c r="J609" s="119"/>
      <c r="K609" s="116"/>
      <c r="L609" s="117"/>
      <c r="M609" s="118"/>
      <c r="N609" s="119"/>
    </row>
    <row r="610" spans="1:14" outlineLevel="1">
      <c r="B610" s="19"/>
      <c r="C610" s="19"/>
      <c r="D610" s="37"/>
      <c r="E610" s="37"/>
      <c r="F610" s="38"/>
      <c r="G610" s="116"/>
      <c r="H610" s="117"/>
      <c r="I610" s="118"/>
      <c r="J610" s="119"/>
      <c r="K610" s="116"/>
      <c r="L610" s="117"/>
      <c r="M610" s="118"/>
      <c r="N610" s="119"/>
    </row>
    <row r="611" spans="1:14" outlineLevel="1">
      <c r="B611" s="19"/>
      <c r="C611" s="19"/>
      <c r="D611" s="19"/>
      <c r="E611" s="19"/>
      <c r="F611" s="19"/>
      <c r="G611" s="116"/>
      <c r="H611" s="117"/>
      <c r="I611" s="118"/>
      <c r="J611" s="119"/>
      <c r="K611" s="116"/>
      <c r="L611" s="117"/>
      <c r="M611" s="118"/>
      <c r="N611" s="119"/>
    </row>
    <row r="612" spans="1:14" outlineLevel="1">
      <c r="B612" s="740" t="str">
        <f>IF(AND('Datos ensayos LUM.'!AB31=FALSE,'Datos ensayos LUM.'!AB27=FALSE),"MARCAR RESULTADOS OBTENIDOS","")</f>
        <v>MARCAR RESULTADOS OBTENIDOS</v>
      </c>
      <c r="C612" s="54" t="s">
        <v>170</v>
      </c>
      <c r="D612" s="19"/>
      <c r="E612" s="19"/>
      <c r="F612" s="19"/>
      <c r="G612" s="116"/>
      <c r="H612" s="117"/>
      <c r="I612" s="118"/>
      <c r="J612" s="119"/>
      <c r="K612" s="116"/>
      <c r="L612" s="117"/>
      <c r="M612" s="118"/>
      <c r="N612" s="119"/>
    </row>
    <row r="613" spans="1:14" outlineLevel="1">
      <c r="B613" s="740"/>
      <c r="C613" s="19"/>
      <c r="D613" s="19"/>
      <c r="E613" s="19"/>
      <c r="F613" s="19"/>
      <c r="G613" s="116"/>
      <c r="H613" s="117"/>
      <c r="I613" s="118"/>
      <c r="J613" s="119"/>
      <c r="K613" s="116"/>
      <c r="L613" s="117"/>
      <c r="M613" s="118"/>
      <c r="N613" s="119"/>
    </row>
    <row r="614" spans="1:14" outlineLevel="1">
      <c r="B614" s="740"/>
      <c r="C614" s="19"/>
      <c r="D614" s="19"/>
      <c r="E614" s="19"/>
      <c r="F614" s="19"/>
      <c r="G614" s="116"/>
      <c r="H614" s="117"/>
      <c r="I614" s="118"/>
      <c r="J614" s="119"/>
      <c r="K614" s="116"/>
      <c r="L614" s="117"/>
      <c r="M614" s="118"/>
      <c r="N614" s="119"/>
    </row>
    <row r="615" spans="1:14" outlineLevel="1">
      <c r="B615" s="19"/>
      <c r="C615" s="19"/>
      <c r="D615" s="19"/>
      <c r="E615" s="19"/>
      <c r="F615" s="19"/>
      <c r="G615" s="116"/>
      <c r="H615" s="117"/>
      <c r="I615" s="118"/>
      <c r="J615" s="119"/>
      <c r="K615" s="116"/>
      <c r="L615" s="117"/>
      <c r="M615" s="118"/>
      <c r="N615" s="119"/>
    </row>
    <row r="616" spans="1:14" outlineLevel="1">
      <c r="B616" s="19"/>
      <c r="C616" s="536" t="s">
        <v>98</v>
      </c>
      <c r="D616" s="537"/>
      <c r="E616" s="537"/>
      <c r="F616" s="538"/>
      <c r="G616" s="116"/>
      <c r="H616" s="117"/>
      <c r="I616" s="118"/>
      <c r="J616" s="119"/>
      <c r="K616" s="116"/>
      <c r="L616" s="117"/>
      <c r="M616" s="118"/>
      <c r="N616" s="119"/>
    </row>
    <row r="617" spans="1:14" outlineLevel="1">
      <c r="B617" s="19"/>
      <c r="C617" s="539"/>
      <c r="D617" s="540"/>
      <c r="E617" s="540"/>
      <c r="F617" s="541"/>
      <c r="G617" s="116"/>
      <c r="H617" s="117"/>
      <c r="I617" s="118"/>
      <c r="J617" s="119"/>
      <c r="K617" s="116"/>
      <c r="L617" s="117"/>
      <c r="M617" s="118"/>
      <c r="N617" s="119"/>
    </row>
    <row r="618" spans="1:14" outlineLevel="1">
      <c r="B618" s="19"/>
      <c r="C618" s="539"/>
      <c r="D618" s="540"/>
      <c r="E618" s="540"/>
      <c r="F618" s="541"/>
      <c r="G618" s="116"/>
      <c r="H618" s="117"/>
      <c r="I618" s="118"/>
      <c r="J618" s="119"/>
      <c r="K618" s="116"/>
      <c r="L618" s="117"/>
      <c r="M618" s="118"/>
      <c r="N618" s="119"/>
    </row>
    <row r="619" spans="1:14" outlineLevel="1">
      <c r="B619" s="19"/>
      <c r="C619" s="542"/>
      <c r="D619" s="543"/>
      <c r="E619" s="543"/>
      <c r="F619" s="544"/>
      <c r="G619" s="116"/>
      <c r="H619" s="117"/>
      <c r="I619" s="118"/>
      <c r="J619" s="119"/>
      <c r="K619" s="116"/>
      <c r="L619" s="117"/>
      <c r="M619" s="118"/>
      <c r="N619" s="119"/>
    </row>
    <row r="620" spans="1:14" outlineLevel="1">
      <c r="B620" s="19"/>
      <c r="C620" s="19"/>
      <c r="D620" s="19"/>
      <c r="E620" s="19"/>
      <c r="F620" s="19"/>
      <c r="G620" s="116"/>
      <c r="H620" s="117"/>
      <c r="I620" s="118"/>
      <c r="J620" s="119"/>
      <c r="K620" s="116"/>
      <c r="L620" s="117"/>
      <c r="M620" s="118"/>
      <c r="N620" s="119"/>
    </row>
    <row r="621" spans="1:14">
      <c r="B621" s="9"/>
      <c r="C621" s="9"/>
      <c r="D621" s="9"/>
      <c r="E621" s="9"/>
      <c r="F621" s="9"/>
      <c r="G621" s="116"/>
      <c r="H621" s="117"/>
      <c r="I621" s="118"/>
      <c r="J621" s="119"/>
      <c r="K621" s="116"/>
      <c r="L621" s="117"/>
      <c r="M621" s="118"/>
      <c r="N621" s="119"/>
    </row>
    <row r="622" spans="1:14">
      <c r="G622" s="116"/>
      <c r="H622" s="117"/>
      <c r="I622" s="118"/>
      <c r="J622" s="119"/>
      <c r="K622" s="116"/>
      <c r="L622" s="117"/>
      <c r="M622" s="118"/>
      <c r="N622" s="119"/>
    </row>
    <row r="623" spans="1:14" ht="21">
      <c r="A623" s="19"/>
      <c r="B623" s="51" t="s">
        <v>1178</v>
      </c>
      <c r="C623" s="19"/>
      <c r="D623" s="19"/>
      <c r="E623" s="19"/>
      <c r="F623" s="19"/>
      <c r="G623" s="116"/>
      <c r="H623" s="117"/>
      <c r="I623" s="118"/>
      <c r="J623" s="119"/>
      <c r="K623" s="116"/>
      <c r="L623" s="117"/>
      <c r="M623" s="118"/>
      <c r="N623" s="119"/>
    </row>
    <row r="624" spans="1:14" ht="15" customHeight="1" outlineLevel="1">
      <c r="B624" s="51"/>
      <c r="C624" s="19"/>
      <c r="D624" s="36" t="s">
        <v>108</v>
      </c>
      <c r="E624" s="36" t="s">
        <v>109</v>
      </c>
      <c r="F624" s="36" t="s">
        <v>110</v>
      </c>
      <c r="G624" s="116"/>
      <c r="H624" s="117"/>
      <c r="I624" s="118"/>
      <c r="J624" s="119"/>
      <c r="K624" s="116"/>
      <c r="L624" s="117"/>
      <c r="M624" s="118"/>
      <c r="N624" s="119"/>
    </row>
    <row r="625" spans="2:14" ht="15" customHeight="1" outlineLevel="1">
      <c r="B625" s="51"/>
      <c r="C625" s="19"/>
      <c r="D625" s="37"/>
      <c r="E625" s="37"/>
      <c r="F625" s="38"/>
      <c r="G625" s="116"/>
      <c r="H625" s="117"/>
      <c r="I625" s="118"/>
      <c r="J625" s="119"/>
      <c r="K625" s="116"/>
      <c r="L625" s="117"/>
      <c r="M625" s="118"/>
      <c r="N625" s="119"/>
    </row>
    <row r="626" spans="2:14" ht="15" customHeight="1" outlineLevel="1">
      <c r="B626" s="19"/>
      <c r="C626" s="54" t="s">
        <v>396</v>
      </c>
      <c r="D626" s="188"/>
      <c r="E626" s="188"/>
      <c r="F626" s="188"/>
      <c r="G626" s="116"/>
      <c r="H626" s="117"/>
      <c r="I626" s="118"/>
      <c r="J626" s="119"/>
      <c r="K626" s="116"/>
      <c r="L626" s="117"/>
      <c r="M626" s="118"/>
      <c r="N626" s="119"/>
    </row>
    <row r="627" spans="2:14" outlineLevel="1">
      <c r="B627" s="743" t="str">
        <f>IF('Datos ensayos LUM.'!AB53=FALSE,"SELECCIONA EQUIPO(s) UTILIZADOS","")</f>
        <v>SELECCIONA EQUIPO(s) UTILIZADOS</v>
      </c>
      <c r="C627" s="19"/>
      <c r="D627" s="189"/>
      <c r="E627" s="189"/>
      <c r="F627" s="189"/>
      <c r="G627" s="116"/>
      <c r="H627" s="117"/>
      <c r="I627" s="118"/>
      <c r="J627" s="119"/>
      <c r="K627" s="116"/>
      <c r="L627" s="117"/>
      <c r="M627" s="118"/>
      <c r="N627" s="119"/>
    </row>
    <row r="628" spans="2:14" outlineLevel="1">
      <c r="B628" s="743"/>
      <c r="C628" s="19"/>
      <c r="D628" s="189"/>
      <c r="E628" s="189"/>
      <c r="F628" s="189"/>
      <c r="G628" s="116"/>
      <c r="H628" s="117"/>
      <c r="I628" s="118"/>
      <c r="J628" s="119"/>
      <c r="K628" s="116"/>
      <c r="L628" s="117"/>
      <c r="M628" s="118"/>
      <c r="N628" s="119"/>
    </row>
    <row r="629" spans="2:14" outlineLevel="1">
      <c r="B629" s="743"/>
      <c r="C629" s="19"/>
      <c r="D629" s="189"/>
      <c r="E629" s="189"/>
      <c r="F629" s="189"/>
      <c r="G629" s="116"/>
      <c r="H629" s="117"/>
      <c r="I629" s="118"/>
      <c r="J629" s="119"/>
      <c r="K629" s="116"/>
      <c r="L629" s="117"/>
      <c r="M629" s="118"/>
      <c r="N629" s="119"/>
    </row>
    <row r="630" spans="2:14" outlineLevel="1">
      <c r="B630" s="743"/>
      <c r="C630" s="19"/>
      <c r="D630" s="189"/>
      <c r="E630" s="189"/>
      <c r="F630" s="189"/>
      <c r="G630" s="116"/>
      <c r="H630" s="117"/>
      <c r="I630" s="118"/>
      <c r="J630" s="119"/>
      <c r="K630" s="116"/>
      <c r="L630" s="117"/>
      <c r="M630" s="118"/>
      <c r="N630" s="119"/>
    </row>
    <row r="631" spans="2:14" ht="15" customHeight="1" outlineLevel="1">
      <c r="B631" s="19"/>
      <c r="C631" s="19"/>
      <c r="D631" s="741" t="s">
        <v>111</v>
      </c>
      <c r="E631" s="741"/>
      <c r="F631" s="741"/>
      <c r="G631" s="116"/>
      <c r="H631" s="117"/>
      <c r="I631" s="118"/>
      <c r="J631" s="119"/>
      <c r="K631" s="116"/>
      <c r="L631" s="117"/>
      <c r="M631" s="118"/>
      <c r="N631" s="119"/>
    </row>
    <row r="632" spans="2:14" outlineLevel="1">
      <c r="B632" s="19"/>
      <c r="C632" s="19"/>
      <c r="D632" s="741"/>
      <c r="E632" s="741"/>
      <c r="F632" s="741"/>
      <c r="G632" s="116"/>
      <c r="H632" s="117"/>
      <c r="I632" s="118"/>
      <c r="J632" s="119"/>
      <c r="K632" s="116"/>
      <c r="L632" s="117"/>
      <c r="M632" s="118"/>
      <c r="N632" s="119"/>
    </row>
    <row r="633" spans="2:14" outlineLevel="1">
      <c r="B633" s="19"/>
      <c r="C633" s="19"/>
      <c r="D633" s="742"/>
      <c r="E633" s="742"/>
      <c r="F633" s="742"/>
      <c r="G633" s="116"/>
      <c r="H633" s="117"/>
      <c r="I633" s="118"/>
      <c r="J633" s="119"/>
      <c r="K633" s="116"/>
      <c r="L633" s="117"/>
      <c r="M633" s="118"/>
      <c r="N633" s="119"/>
    </row>
    <row r="634" spans="2:14" outlineLevel="1">
      <c r="B634" s="19"/>
      <c r="C634" s="536" t="s">
        <v>98</v>
      </c>
      <c r="D634" s="537"/>
      <c r="E634" s="537"/>
      <c r="F634" s="538"/>
      <c r="G634" s="116"/>
      <c r="H634" s="117"/>
      <c r="I634" s="118"/>
      <c r="J634" s="119"/>
      <c r="K634" s="116"/>
      <c r="L634" s="117"/>
      <c r="M634" s="118"/>
      <c r="N634" s="119"/>
    </row>
    <row r="635" spans="2:14" outlineLevel="1">
      <c r="B635" s="19"/>
      <c r="C635" s="539"/>
      <c r="D635" s="540"/>
      <c r="E635" s="540"/>
      <c r="F635" s="541"/>
      <c r="G635" s="116"/>
      <c r="H635" s="117"/>
      <c r="I635" s="118"/>
      <c r="J635" s="119"/>
      <c r="K635" s="116"/>
      <c r="L635" s="117"/>
      <c r="M635" s="118"/>
      <c r="N635" s="119"/>
    </row>
    <row r="636" spans="2:14" outlineLevel="1">
      <c r="B636" s="19"/>
      <c r="C636" s="539"/>
      <c r="D636" s="540"/>
      <c r="E636" s="540"/>
      <c r="F636" s="541"/>
      <c r="G636" s="116"/>
      <c r="H636" s="117"/>
      <c r="I636" s="118"/>
      <c r="J636" s="119"/>
      <c r="K636" s="116"/>
      <c r="L636" s="117"/>
      <c r="M636" s="118"/>
      <c r="N636" s="119"/>
    </row>
    <row r="637" spans="2:14" outlineLevel="1">
      <c r="B637" s="19"/>
      <c r="C637" s="542"/>
      <c r="D637" s="543"/>
      <c r="E637" s="543"/>
      <c r="F637" s="544"/>
      <c r="G637" s="116"/>
      <c r="H637" s="117"/>
      <c r="I637" s="118"/>
      <c r="J637" s="119"/>
      <c r="K637" s="116"/>
      <c r="L637" s="117"/>
      <c r="M637" s="118"/>
      <c r="N637" s="119"/>
    </row>
    <row r="638" spans="2:14" outlineLevel="1">
      <c r="B638" s="19"/>
      <c r="C638" s="19"/>
      <c r="D638" s="19"/>
      <c r="E638" s="19"/>
      <c r="F638" s="19"/>
      <c r="G638" s="116"/>
      <c r="H638" s="117"/>
      <c r="I638" s="118"/>
      <c r="J638" s="119"/>
      <c r="K638" s="116"/>
      <c r="L638" s="117"/>
      <c r="M638" s="118"/>
      <c r="N638" s="119"/>
    </row>
    <row r="639" spans="2:14">
      <c r="B639" s="19"/>
      <c r="C639" s="19"/>
      <c r="D639" s="19"/>
      <c r="E639" s="19"/>
      <c r="F639" s="19"/>
      <c r="G639" s="116"/>
      <c r="H639" s="117"/>
      <c r="I639" s="118"/>
      <c r="J639" s="119"/>
      <c r="K639" s="116"/>
      <c r="L639" s="117"/>
      <c r="M639" s="118"/>
      <c r="N639" s="119"/>
    </row>
    <row r="640" spans="2:14">
      <c r="G640" s="116"/>
      <c r="H640" s="117"/>
      <c r="I640" s="118"/>
      <c r="J640" s="119"/>
      <c r="K640" s="116"/>
      <c r="L640" s="117"/>
      <c r="M640" s="118"/>
      <c r="N640" s="119"/>
    </row>
    <row r="641" spans="1:14" ht="21">
      <c r="A641" s="9"/>
      <c r="B641" s="79" t="s">
        <v>1180</v>
      </c>
      <c r="C641" s="9"/>
      <c r="D641" s="9"/>
      <c r="E641" s="9"/>
      <c r="F641" s="9"/>
      <c r="G641" s="116"/>
      <c r="H641" s="117"/>
      <c r="I641" s="118"/>
      <c r="J641" s="119"/>
      <c r="K641" s="116"/>
      <c r="L641" s="117"/>
      <c r="M641" s="118"/>
      <c r="N641" s="119"/>
    </row>
    <row r="642" spans="1:14" outlineLevel="1">
      <c r="B642" s="9"/>
      <c r="C642" s="9"/>
      <c r="D642" s="9"/>
      <c r="E642" s="9"/>
      <c r="F642" s="9"/>
      <c r="G642" s="116"/>
      <c r="H642" s="117"/>
      <c r="I642" s="118"/>
      <c r="J642" s="119"/>
      <c r="K642" s="116"/>
      <c r="L642" s="117"/>
      <c r="M642" s="118"/>
      <c r="N642" s="119"/>
    </row>
    <row r="643" spans="1:14" outlineLevel="1">
      <c r="B643" s="9"/>
      <c r="C643" s="9" t="s">
        <v>402</v>
      </c>
      <c r="D643" s="9"/>
      <c r="E643" s="9"/>
      <c r="F643" s="9"/>
      <c r="G643" s="116"/>
      <c r="H643" s="117"/>
      <c r="I643" s="118"/>
      <c r="J643" s="119"/>
      <c r="K643" s="116"/>
      <c r="L643" s="117"/>
      <c r="M643" s="118"/>
      <c r="N643" s="119"/>
    </row>
    <row r="644" spans="1:14" outlineLevel="1">
      <c r="A644" s="363"/>
      <c r="B644" s="746" t="str">
        <f>IF('Datos ensayos LUM.'!AJ29=FALSE,"SELECCIONA LUGARES DE ENSAYO","")</f>
        <v>SELECCIONA LUGARES DE ENSAYO</v>
      </c>
      <c r="C644" s="9"/>
      <c r="D644" s="9"/>
      <c r="E644" s="9"/>
      <c r="G644" s="116"/>
      <c r="H644" s="117"/>
      <c r="I644" s="118"/>
      <c r="J644" s="119"/>
      <c r="K644" s="116"/>
      <c r="L644" s="117"/>
      <c r="M644" s="118"/>
      <c r="N644" s="119"/>
    </row>
    <row r="645" spans="1:14" outlineLevel="1">
      <c r="A645" s="363"/>
      <c r="B645" s="746"/>
      <c r="C645" s="9"/>
      <c r="D645" s="9"/>
      <c r="E645" s="9"/>
      <c r="F645" s="9"/>
      <c r="G645" s="116"/>
      <c r="H645" s="117"/>
      <c r="I645" s="118"/>
      <c r="J645" s="119"/>
      <c r="K645" s="116"/>
      <c r="L645" s="117"/>
      <c r="M645" s="118"/>
      <c r="N645" s="119"/>
    </row>
    <row r="646" spans="1:14" outlineLevel="1">
      <c r="B646" s="746"/>
      <c r="C646" s="9"/>
      <c r="D646" s="9"/>
      <c r="E646" s="9"/>
      <c r="F646" s="526" t="s">
        <v>1047</v>
      </c>
      <c r="G646" s="116"/>
      <c r="H646" s="117"/>
      <c r="I646" s="118"/>
      <c r="J646" s="119"/>
      <c r="K646" s="116"/>
      <c r="L646" s="117"/>
      <c r="M646" s="118"/>
      <c r="N646" s="119"/>
    </row>
    <row r="647" spans="1:14" outlineLevel="1">
      <c r="B647" s="746"/>
      <c r="C647" s="9"/>
      <c r="D647" s="9"/>
      <c r="E647" s="9"/>
      <c r="F647" s="9"/>
      <c r="G647" s="116"/>
      <c r="H647" s="117"/>
      <c r="I647" s="118"/>
      <c r="J647" s="119"/>
      <c r="K647" s="116"/>
      <c r="L647" s="117"/>
      <c r="M647" s="118"/>
      <c r="N647" s="119"/>
    </row>
    <row r="648" spans="1:14" outlineLevel="1">
      <c r="B648" s="9"/>
      <c r="C648" s="9"/>
      <c r="D648" s="9"/>
      <c r="E648" s="9"/>
      <c r="F648" s="9"/>
      <c r="G648" s="116"/>
      <c r="H648" s="117"/>
      <c r="I648" s="118"/>
      <c r="J648" s="119"/>
      <c r="K648" s="116"/>
      <c r="L648" s="117"/>
      <c r="M648" s="118"/>
      <c r="N648" s="119"/>
    </row>
    <row r="649" spans="1:14" outlineLevel="1">
      <c r="B649" s="9"/>
      <c r="C649" s="9" t="s">
        <v>403</v>
      </c>
      <c r="D649" s="9"/>
      <c r="E649" s="9"/>
      <c r="F649" s="9"/>
      <c r="G649" s="116"/>
      <c r="H649" s="117"/>
      <c r="I649" s="118"/>
      <c r="J649" s="119"/>
      <c r="K649" s="116"/>
      <c r="L649" s="117"/>
      <c r="M649" s="118"/>
      <c r="N649" s="119"/>
    </row>
    <row r="650" spans="1:14" outlineLevel="1">
      <c r="B650" s="746" t="str">
        <f>IF('Datos ensayos LUM.'!AJ39=FALSE,"SELECCIONA EQUIPOS DE ENSAYO","")</f>
        <v>SELECCIONA EQUIPOS DE ENSAYO</v>
      </c>
      <c r="C650" s="9"/>
      <c r="D650" s="9"/>
      <c r="E650" s="9"/>
      <c r="F650" s="9"/>
      <c r="G650" s="116"/>
      <c r="H650" s="117"/>
      <c r="I650" s="118"/>
      <c r="J650" s="119"/>
      <c r="K650" s="116"/>
      <c r="L650" s="117"/>
      <c r="M650" s="118"/>
      <c r="N650" s="119"/>
    </row>
    <row r="651" spans="1:14" outlineLevel="1">
      <c r="B651" s="746"/>
      <c r="C651" s="9"/>
      <c r="D651" s="9"/>
      <c r="E651" s="9"/>
      <c r="F651" s="9"/>
      <c r="G651" s="116"/>
      <c r="H651" s="117"/>
      <c r="I651" s="118"/>
      <c r="J651" s="119"/>
      <c r="K651" s="116"/>
      <c r="L651" s="117"/>
      <c r="M651" s="118"/>
      <c r="N651" s="119"/>
    </row>
    <row r="652" spans="1:14" outlineLevel="1">
      <c r="B652" s="746"/>
      <c r="C652" s="9"/>
      <c r="D652" s="9"/>
      <c r="E652" s="9"/>
      <c r="F652" s="9"/>
      <c r="G652" s="116"/>
      <c r="H652" s="117"/>
      <c r="I652" s="118"/>
      <c r="J652" s="119"/>
      <c r="K652" s="116"/>
      <c r="L652" s="117"/>
      <c r="M652" s="118"/>
      <c r="N652" s="119"/>
    </row>
    <row r="653" spans="1:14" outlineLevel="1">
      <c r="B653" s="746"/>
      <c r="C653" s="9"/>
      <c r="D653" s="9"/>
      <c r="E653" s="9"/>
      <c r="F653" s="9"/>
      <c r="G653" s="116"/>
      <c r="H653" s="117"/>
      <c r="I653" s="118"/>
      <c r="J653" s="119"/>
      <c r="K653" s="116"/>
      <c r="L653" s="117"/>
      <c r="M653" s="118"/>
      <c r="N653" s="119"/>
    </row>
    <row r="654" spans="1:14" outlineLevel="1">
      <c r="B654" s="746"/>
      <c r="C654" s="9"/>
      <c r="D654" s="9"/>
      <c r="E654" s="9"/>
      <c r="F654" s="9"/>
      <c r="G654" s="116"/>
      <c r="H654" s="117"/>
      <c r="I654" s="118"/>
      <c r="J654" s="119"/>
      <c r="K654" s="116"/>
      <c r="L654" s="117"/>
      <c r="M654" s="118"/>
      <c r="N654" s="119"/>
    </row>
    <row r="655" spans="1:14" outlineLevel="1">
      <c r="B655" s="9"/>
      <c r="C655" s="9"/>
      <c r="D655" s="9"/>
      <c r="E655" s="9"/>
      <c r="F655" s="9"/>
      <c r="G655" s="116"/>
      <c r="H655" s="117"/>
      <c r="I655" s="118"/>
      <c r="J655" s="119"/>
      <c r="K655" s="116"/>
      <c r="L655" s="117"/>
      <c r="M655" s="118"/>
      <c r="N655" s="119"/>
    </row>
    <row r="656" spans="1:14" ht="15" customHeight="1" outlineLevel="1">
      <c r="B656" s="9"/>
      <c r="C656" s="792" t="s">
        <v>400</v>
      </c>
      <c r="D656" s="792"/>
      <c r="E656" s="792"/>
      <c r="F656" s="792"/>
      <c r="G656" s="116"/>
      <c r="H656" s="117"/>
      <c r="I656" s="118"/>
      <c r="J656" s="119"/>
      <c r="K656" s="116"/>
      <c r="L656" s="117"/>
      <c r="M656" s="118"/>
      <c r="N656" s="119"/>
    </row>
    <row r="657" spans="1:14" outlineLevel="1">
      <c r="B657" s="9"/>
      <c r="C657" s="792"/>
      <c r="D657" s="792"/>
      <c r="E657" s="792"/>
      <c r="F657" s="792"/>
      <c r="G657" s="116"/>
      <c r="H657" s="117"/>
      <c r="I657" s="118"/>
      <c r="J657" s="119"/>
      <c r="K657" s="116"/>
      <c r="L657" s="117"/>
      <c r="M657" s="118"/>
      <c r="N657" s="119"/>
    </row>
    <row r="658" spans="1:14" outlineLevel="1">
      <c r="B658" s="9"/>
      <c r="C658" s="792"/>
      <c r="D658" s="792"/>
      <c r="E658" s="792"/>
      <c r="F658" s="792"/>
      <c r="G658" s="116"/>
      <c r="H658" s="117"/>
      <c r="I658" s="118"/>
      <c r="J658" s="119"/>
      <c r="K658" s="116"/>
      <c r="L658" s="117"/>
      <c r="M658" s="118"/>
      <c r="N658" s="119"/>
    </row>
    <row r="659" spans="1:14" outlineLevel="1">
      <c r="B659" s="80"/>
      <c r="C659" s="80"/>
      <c r="D659" s="80"/>
      <c r="E659" s="80"/>
      <c r="F659" s="80"/>
      <c r="G659" s="116"/>
      <c r="H659" s="117"/>
      <c r="I659" s="118"/>
      <c r="J659" s="119"/>
      <c r="K659" s="116"/>
      <c r="L659" s="117"/>
      <c r="M659" s="118"/>
      <c r="N659" s="119"/>
    </row>
    <row r="660" spans="1:14" ht="15" outlineLevel="1" thickBot="1">
      <c r="A660" s="8"/>
      <c r="B660" s="81" t="s">
        <v>1182</v>
      </c>
      <c r="C660" s="81" t="s">
        <v>173</v>
      </c>
      <c r="D660" s="80"/>
      <c r="E660" s="80"/>
      <c r="F660" s="80"/>
      <c r="G660" s="116"/>
      <c r="H660" s="117"/>
      <c r="I660" s="118"/>
      <c r="J660" s="119"/>
      <c r="K660" s="116"/>
      <c r="L660" s="117"/>
      <c r="M660" s="118"/>
      <c r="N660" s="119"/>
    </row>
    <row r="661" spans="1:14" ht="15" outlineLevel="1" thickBot="1">
      <c r="B661" s="80"/>
      <c r="C661" s="80"/>
      <c r="D661" s="36" t="s">
        <v>108</v>
      </c>
      <c r="E661" s="36" t="s">
        <v>109</v>
      </c>
      <c r="F661" s="36" t="s">
        <v>110</v>
      </c>
      <c r="G661" s="191"/>
      <c r="H661" s="130"/>
      <c r="I661" s="131"/>
      <c r="J661" s="132"/>
      <c r="K661" s="133"/>
      <c r="L661" s="130"/>
      <c r="M661" s="131"/>
      <c r="N661" s="134"/>
    </row>
    <row r="662" spans="1:14" outlineLevel="1">
      <c r="B662" s="80"/>
      <c r="C662" s="80"/>
      <c r="D662" s="83"/>
      <c r="E662" s="83"/>
      <c r="F662" s="84"/>
      <c r="G662" s="116"/>
      <c r="H662" s="117"/>
      <c r="I662" s="118"/>
      <c r="J662" s="119"/>
      <c r="K662" s="116"/>
      <c r="L662" s="117"/>
      <c r="M662" s="118"/>
      <c r="N662" s="119"/>
    </row>
    <row r="663" spans="1:14" ht="15" customHeight="1" outlineLevel="1">
      <c r="B663" s="80"/>
      <c r="C663" s="747" t="s">
        <v>401</v>
      </c>
      <c r="D663" s="747"/>
      <c r="E663" s="747"/>
      <c r="F663" s="747"/>
      <c r="G663" s="116"/>
      <c r="H663" s="117"/>
      <c r="I663" s="118"/>
      <c r="J663" s="119"/>
      <c r="K663" s="116"/>
      <c r="L663" s="117"/>
      <c r="M663" s="118"/>
      <c r="N663" s="119"/>
    </row>
    <row r="664" spans="1:14" outlineLevel="4">
      <c r="B664" s="80"/>
      <c r="C664" s="80"/>
      <c r="D664" s="80"/>
      <c r="E664" s="80"/>
      <c r="F664" s="80"/>
      <c r="G664" s="116"/>
      <c r="H664" s="117"/>
      <c r="I664" s="118"/>
      <c r="J664" s="119"/>
      <c r="K664" s="116"/>
      <c r="L664" s="117"/>
      <c r="M664" s="118"/>
      <c r="N664" s="119"/>
    </row>
    <row r="665" spans="1:14" outlineLevel="4">
      <c r="B665" s="80"/>
      <c r="C665" s="536" t="s">
        <v>174</v>
      </c>
      <c r="D665" s="537"/>
      <c r="E665" s="537"/>
      <c r="F665" s="538"/>
      <c r="G665" s="116"/>
      <c r="H665" s="117"/>
      <c r="I665" s="118"/>
      <c r="J665" s="119"/>
      <c r="K665" s="116"/>
      <c r="L665" s="117"/>
      <c r="M665" s="118"/>
      <c r="N665" s="119"/>
    </row>
    <row r="666" spans="1:14" outlineLevel="4">
      <c r="B666" s="80"/>
      <c r="C666" s="539"/>
      <c r="D666" s="540"/>
      <c r="E666" s="540"/>
      <c r="F666" s="541"/>
      <c r="G666" s="116"/>
      <c r="H666" s="117"/>
      <c r="I666" s="118"/>
      <c r="J666" s="119"/>
      <c r="K666" s="116"/>
      <c r="L666" s="117"/>
      <c r="M666" s="118"/>
      <c r="N666" s="119"/>
    </row>
    <row r="667" spans="1:14" outlineLevel="4">
      <c r="B667" s="80"/>
      <c r="C667" s="539"/>
      <c r="D667" s="540"/>
      <c r="E667" s="540"/>
      <c r="F667" s="541"/>
      <c r="G667" s="116"/>
      <c r="H667" s="117"/>
      <c r="I667" s="118"/>
      <c r="J667" s="119"/>
      <c r="K667" s="116"/>
      <c r="L667" s="117"/>
      <c r="M667" s="118"/>
      <c r="N667" s="119"/>
    </row>
    <row r="668" spans="1:14" outlineLevel="4">
      <c r="B668" s="80"/>
      <c r="C668" s="542"/>
      <c r="D668" s="543"/>
      <c r="E668" s="543"/>
      <c r="F668" s="544"/>
      <c r="G668" s="116"/>
      <c r="H668" s="117"/>
      <c r="I668" s="118"/>
      <c r="J668" s="119"/>
      <c r="K668" s="116"/>
      <c r="L668" s="117"/>
      <c r="M668" s="118"/>
      <c r="N668" s="119"/>
    </row>
    <row r="669" spans="1:14" outlineLevel="4">
      <c r="B669" s="80"/>
      <c r="C669" s="80"/>
      <c r="D669" s="80"/>
      <c r="E669" s="80"/>
      <c r="F669" s="80"/>
      <c r="G669" s="116"/>
      <c r="H669" s="117"/>
      <c r="I669" s="118"/>
      <c r="J669" s="119"/>
      <c r="K669" s="116"/>
      <c r="L669" s="117"/>
      <c r="M669" s="118"/>
      <c r="N669" s="119"/>
    </row>
    <row r="670" spans="1:14" outlineLevel="1">
      <c r="B670" s="80"/>
      <c r="C670" s="80"/>
      <c r="D670" s="80"/>
      <c r="E670" s="80"/>
      <c r="F670" s="80"/>
      <c r="G670" s="116"/>
      <c r="H670" s="117"/>
      <c r="I670" s="118"/>
      <c r="J670" s="119"/>
      <c r="K670" s="116"/>
      <c r="L670" s="117"/>
      <c r="M670" s="118"/>
      <c r="N670" s="119"/>
    </row>
    <row r="671" spans="1:14" outlineLevel="1">
      <c r="B671" s="19"/>
      <c r="C671" s="19"/>
      <c r="D671" s="19"/>
      <c r="E671" s="19"/>
      <c r="F671" s="19"/>
      <c r="G671" s="116"/>
      <c r="H671" s="117"/>
      <c r="I671" s="118"/>
      <c r="J671" s="119"/>
      <c r="K671" s="116"/>
      <c r="L671" s="117"/>
      <c r="M671" s="118"/>
      <c r="N671" s="119"/>
    </row>
    <row r="672" spans="1:14" ht="15" outlineLevel="1" thickBot="1">
      <c r="A672" s="19"/>
      <c r="B672" s="54" t="s">
        <v>810</v>
      </c>
      <c r="C672" s="54" t="s">
        <v>175</v>
      </c>
      <c r="D672" s="19"/>
      <c r="E672" s="19"/>
      <c r="F672" s="19"/>
      <c r="G672" s="116"/>
      <c r="H672" s="117"/>
      <c r="I672" s="118"/>
      <c r="J672" s="119"/>
      <c r="K672" s="116"/>
      <c r="L672" s="117"/>
      <c r="M672" s="118"/>
      <c r="N672" s="119"/>
    </row>
    <row r="673" spans="1:14" ht="15" outlineLevel="1" thickBot="1">
      <c r="B673" s="19"/>
      <c r="C673" s="19"/>
      <c r="D673" s="36" t="s">
        <v>108</v>
      </c>
      <c r="E673" s="36" t="s">
        <v>109</v>
      </c>
      <c r="F673" s="82" t="s">
        <v>110</v>
      </c>
      <c r="G673" s="129"/>
      <c r="H673" s="130"/>
      <c r="I673" s="131"/>
      <c r="J673" s="132"/>
      <c r="K673" s="133"/>
      <c r="L673" s="130"/>
      <c r="M673" s="131"/>
      <c r="N673" s="134"/>
    </row>
    <row r="674" spans="1:14" outlineLevel="1">
      <c r="B674" s="19"/>
      <c r="C674" s="19"/>
      <c r="D674" s="83"/>
      <c r="E674" s="83"/>
      <c r="F674" s="84"/>
      <c r="G674" s="116"/>
      <c r="H674" s="117"/>
      <c r="I674" s="118"/>
      <c r="J674" s="119"/>
      <c r="K674" s="116"/>
      <c r="L674" s="117"/>
      <c r="M674" s="118"/>
      <c r="N674" s="119"/>
    </row>
    <row r="675" spans="1:14" outlineLevel="1">
      <c r="B675" s="19"/>
      <c r="C675" s="796" t="s">
        <v>401</v>
      </c>
      <c r="D675" s="796"/>
      <c r="E675" s="796"/>
      <c r="F675" s="796"/>
      <c r="G675" s="116"/>
      <c r="H675" s="117"/>
      <c r="I675" s="118"/>
      <c r="J675" s="119"/>
      <c r="K675" s="116"/>
      <c r="L675" s="117"/>
      <c r="M675" s="118"/>
      <c r="N675" s="119"/>
    </row>
    <row r="676" spans="1:14" outlineLevel="2">
      <c r="B676" s="19"/>
      <c r="C676" s="19"/>
      <c r="D676" s="19"/>
      <c r="E676" s="19"/>
      <c r="F676" s="19"/>
      <c r="G676" s="116"/>
      <c r="H676" s="117"/>
      <c r="I676" s="118"/>
      <c r="J676" s="119"/>
      <c r="K676" s="116"/>
      <c r="L676" s="117"/>
      <c r="M676" s="118"/>
      <c r="N676" s="119"/>
    </row>
    <row r="677" spans="1:14" outlineLevel="2">
      <c r="B677" s="19"/>
      <c r="C677" s="536" t="s">
        <v>98</v>
      </c>
      <c r="D677" s="537"/>
      <c r="E677" s="537"/>
      <c r="F677" s="538"/>
      <c r="G677" s="116"/>
      <c r="H677" s="117"/>
      <c r="I677" s="118"/>
      <c r="J677" s="119"/>
      <c r="K677" s="116"/>
      <c r="L677" s="117"/>
      <c r="M677" s="118"/>
      <c r="N677" s="119"/>
    </row>
    <row r="678" spans="1:14" outlineLevel="2">
      <c r="B678" s="19"/>
      <c r="C678" s="539"/>
      <c r="D678" s="540"/>
      <c r="E678" s="540"/>
      <c r="F678" s="541"/>
      <c r="G678" s="116"/>
      <c r="H678" s="117"/>
      <c r="I678" s="118"/>
      <c r="J678" s="119"/>
      <c r="K678" s="116"/>
      <c r="L678" s="117"/>
      <c r="M678" s="118"/>
      <c r="N678" s="119"/>
    </row>
    <row r="679" spans="1:14" outlineLevel="2">
      <c r="B679" s="19"/>
      <c r="C679" s="539"/>
      <c r="D679" s="540"/>
      <c r="E679" s="540"/>
      <c r="F679" s="541"/>
      <c r="G679" s="116"/>
      <c r="H679" s="117"/>
      <c r="I679" s="118"/>
      <c r="J679" s="119"/>
      <c r="K679" s="116"/>
      <c r="L679" s="117"/>
      <c r="M679" s="118"/>
      <c r="N679" s="119"/>
    </row>
    <row r="680" spans="1:14" outlineLevel="2">
      <c r="B680" s="19"/>
      <c r="C680" s="542"/>
      <c r="D680" s="543"/>
      <c r="E680" s="543"/>
      <c r="F680" s="544"/>
      <c r="G680" s="116"/>
      <c r="H680" s="117"/>
      <c r="I680" s="118"/>
      <c r="J680" s="119"/>
      <c r="K680" s="116"/>
      <c r="L680" s="117"/>
      <c r="M680" s="118"/>
      <c r="N680" s="119"/>
    </row>
    <row r="681" spans="1:14" outlineLevel="2">
      <c r="B681" s="19"/>
      <c r="C681" s="19"/>
      <c r="D681" s="19"/>
      <c r="E681" s="19"/>
      <c r="F681" s="19"/>
      <c r="G681" s="116"/>
      <c r="H681" s="117"/>
      <c r="I681" s="118"/>
      <c r="J681" s="119"/>
      <c r="K681" s="116"/>
      <c r="L681" s="117"/>
      <c r="M681" s="118"/>
      <c r="N681" s="119"/>
    </row>
    <row r="682" spans="1:14" outlineLevel="1">
      <c r="B682" s="19"/>
      <c r="C682" s="19"/>
      <c r="D682" s="19"/>
      <c r="E682" s="19"/>
      <c r="F682" s="19"/>
      <c r="G682" s="116"/>
      <c r="H682" s="117"/>
      <c r="I682" s="118"/>
      <c r="J682" s="119"/>
      <c r="K682" s="116"/>
      <c r="L682" s="117"/>
      <c r="M682" s="118"/>
      <c r="N682" s="119"/>
    </row>
    <row r="683" spans="1:14" outlineLevel="1">
      <c r="B683" s="10"/>
      <c r="C683" s="10"/>
      <c r="D683" s="10"/>
      <c r="E683" s="10"/>
      <c r="F683" s="10"/>
      <c r="G683" s="116"/>
      <c r="H683" s="117"/>
      <c r="I683" s="118"/>
      <c r="J683" s="119"/>
      <c r="K683" s="116"/>
      <c r="L683" s="117"/>
      <c r="M683" s="118"/>
      <c r="N683" s="119"/>
    </row>
    <row r="684" spans="1:14" ht="15" outlineLevel="1" thickBot="1">
      <c r="A684" s="10"/>
      <c r="B684" s="46" t="s">
        <v>1183</v>
      </c>
      <c r="C684" s="46" t="s">
        <v>176</v>
      </c>
      <c r="D684" s="10"/>
      <c r="E684" s="10"/>
      <c r="F684" s="10"/>
      <c r="G684" s="116"/>
      <c r="H684" s="117"/>
      <c r="I684" s="118"/>
      <c r="J684" s="119"/>
      <c r="K684" s="116"/>
      <c r="L684" s="117"/>
      <c r="M684" s="118"/>
      <c r="N684" s="119"/>
    </row>
    <row r="685" spans="1:14" ht="15" outlineLevel="1" thickBot="1">
      <c r="B685" s="10"/>
      <c r="C685" s="10"/>
      <c r="D685" s="36" t="s">
        <v>108</v>
      </c>
      <c r="E685" s="36" t="s">
        <v>109</v>
      </c>
      <c r="F685" s="82" t="s">
        <v>110</v>
      </c>
      <c r="G685" s="129"/>
      <c r="H685" s="130"/>
      <c r="I685" s="131"/>
      <c r="J685" s="132"/>
      <c r="K685" s="133"/>
      <c r="L685" s="130"/>
      <c r="M685" s="131"/>
      <c r="N685" s="134"/>
    </row>
    <row r="686" spans="1:14" outlineLevel="1">
      <c r="B686" s="10"/>
      <c r="C686" s="10"/>
      <c r="D686" s="83"/>
      <c r="E686" s="83"/>
      <c r="F686" s="84"/>
      <c r="G686" s="116"/>
      <c r="H686" s="117"/>
      <c r="I686" s="118"/>
      <c r="J686" s="119"/>
      <c r="K686" s="116"/>
      <c r="L686" s="117"/>
      <c r="M686" s="118"/>
      <c r="N686" s="119"/>
    </row>
    <row r="687" spans="1:14" outlineLevel="2">
      <c r="B687" s="10"/>
      <c r="C687" s="795" t="s">
        <v>401</v>
      </c>
      <c r="D687" s="795"/>
      <c r="E687" s="795"/>
      <c r="F687" s="795"/>
      <c r="G687" s="116"/>
      <c r="H687" s="117"/>
      <c r="I687" s="118"/>
      <c r="J687" s="119"/>
      <c r="K687" s="116"/>
      <c r="L687" s="117"/>
      <c r="M687" s="118"/>
      <c r="N687" s="119"/>
    </row>
    <row r="688" spans="1:14" outlineLevel="2">
      <c r="B688" s="10"/>
      <c r="C688" s="10"/>
      <c r="D688" s="10"/>
      <c r="E688" s="10"/>
      <c r="F688" s="10"/>
      <c r="G688" s="116"/>
      <c r="H688" s="117"/>
      <c r="I688" s="118"/>
      <c r="J688" s="119"/>
      <c r="K688" s="116"/>
      <c r="L688" s="117"/>
      <c r="M688" s="118"/>
      <c r="N688" s="119"/>
    </row>
    <row r="689" spans="1:14" outlineLevel="2">
      <c r="B689" s="10"/>
      <c r="C689" s="536" t="s">
        <v>98</v>
      </c>
      <c r="D689" s="537"/>
      <c r="E689" s="537"/>
      <c r="F689" s="538"/>
      <c r="G689" s="116"/>
      <c r="H689" s="117"/>
      <c r="I689" s="118"/>
      <c r="J689" s="119"/>
      <c r="K689" s="116"/>
      <c r="L689" s="117"/>
      <c r="M689" s="118"/>
      <c r="N689" s="119"/>
    </row>
    <row r="690" spans="1:14" outlineLevel="2">
      <c r="B690" s="10"/>
      <c r="C690" s="539"/>
      <c r="D690" s="540"/>
      <c r="E690" s="540"/>
      <c r="F690" s="541"/>
      <c r="G690" s="116"/>
      <c r="H690" s="117"/>
      <c r="I690" s="118"/>
      <c r="J690" s="119"/>
      <c r="K690" s="116"/>
      <c r="L690" s="117"/>
      <c r="M690" s="118"/>
      <c r="N690" s="119"/>
    </row>
    <row r="691" spans="1:14" outlineLevel="2">
      <c r="B691" s="10"/>
      <c r="C691" s="539"/>
      <c r="D691" s="540"/>
      <c r="E691" s="540"/>
      <c r="F691" s="541"/>
      <c r="G691" s="116"/>
      <c r="H691" s="117"/>
      <c r="I691" s="118"/>
      <c r="J691" s="119"/>
      <c r="K691" s="116"/>
      <c r="L691" s="117"/>
      <c r="M691" s="118"/>
      <c r="N691" s="119"/>
    </row>
    <row r="692" spans="1:14" outlineLevel="2">
      <c r="B692" s="10"/>
      <c r="C692" s="542"/>
      <c r="D692" s="543"/>
      <c r="E692" s="543"/>
      <c r="F692" s="544"/>
      <c r="G692" s="116"/>
      <c r="H692" s="117"/>
      <c r="I692" s="118"/>
      <c r="J692" s="119"/>
      <c r="K692" s="116"/>
      <c r="L692" s="117"/>
      <c r="M692" s="118"/>
      <c r="N692" s="119"/>
    </row>
    <row r="693" spans="1:14" outlineLevel="2">
      <c r="B693" s="10"/>
      <c r="C693" s="10"/>
      <c r="D693" s="10"/>
      <c r="E693" s="10"/>
      <c r="F693" s="10"/>
      <c r="G693" s="116"/>
      <c r="H693" s="117"/>
      <c r="I693" s="118"/>
      <c r="J693" s="119"/>
      <c r="K693" s="116"/>
      <c r="L693" s="117"/>
      <c r="M693" s="118"/>
      <c r="N693" s="119"/>
    </row>
    <row r="694" spans="1:14" outlineLevel="1">
      <c r="B694" s="10"/>
      <c r="C694" s="10"/>
      <c r="D694" s="10"/>
      <c r="E694" s="10"/>
      <c r="F694" s="10"/>
      <c r="G694" s="116"/>
      <c r="H694" s="117"/>
      <c r="I694" s="118"/>
      <c r="J694" s="119"/>
      <c r="K694" s="116"/>
      <c r="L694" s="117"/>
      <c r="M694" s="118"/>
      <c r="N694" s="119"/>
    </row>
    <row r="695" spans="1:14" outlineLevel="1">
      <c r="B695" s="9"/>
      <c r="C695" s="9"/>
      <c r="D695" s="9"/>
      <c r="E695" s="9"/>
      <c r="F695" s="9"/>
      <c r="G695" s="116"/>
      <c r="H695" s="117"/>
      <c r="I695" s="118"/>
      <c r="J695" s="119"/>
      <c r="K695" s="116"/>
      <c r="L695" s="117"/>
      <c r="M695" s="118"/>
      <c r="N695" s="119"/>
    </row>
    <row r="696" spans="1:14" ht="15" outlineLevel="1" thickBot="1">
      <c r="A696" s="9"/>
      <c r="B696" s="61" t="s">
        <v>1184</v>
      </c>
      <c r="C696" s="61" t="s">
        <v>177</v>
      </c>
      <c r="D696" s="9"/>
      <c r="E696" s="9"/>
      <c r="F696" s="9"/>
      <c r="G696" s="116"/>
      <c r="H696" s="117"/>
      <c r="I696" s="118"/>
      <c r="J696" s="119"/>
      <c r="K696" s="116"/>
      <c r="L696" s="117"/>
      <c r="M696" s="118"/>
      <c r="N696" s="119"/>
    </row>
    <row r="697" spans="1:14" ht="15" outlineLevel="1" thickBot="1">
      <c r="B697" s="9"/>
      <c r="C697" s="9"/>
      <c r="D697" s="36" t="s">
        <v>108</v>
      </c>
      <c r="E697" s="36" t="s">
        <v>109</v>
      </c>
      <c r="F697" s="82" t="s">
        <v>110</v>
      </c>
      <c r="G697" s="129"/>
      <c r="H697" s="130"/>
      <c r="I697" s="131"/>
      <c r="J697" s="132"/>
      <c r="K697" s="133"/>
      <c r="L697" s="130"/>
      <c r="M697" s="131"/>
      <c r="N697" s="134"/>
    </row>
    <row r="698" spans="1:14" outlineLevel="1">
      <c r="B698" s="9"/>
      <c r="C698" s="9"/>
      <c r="D698" s="83"/>
      <c r="E698" s="83"/>
      <c r="F698" s="84"/>
      <c r="G698" s="116"/>
      <c r="H698" s="117"/>
      <c r="I698" s="118"/>
      <c r="J698" s="119"/>
      <c r="K698" s="116"/>
      <c r="L698" s="117"/>
      <c r="M698" s="118"/>
      <c r="N698" s="119"/>
    </row>
    <row r="699" spans="1:14" outlineLevel="2">
      <c r="B699" s="9"/>
      <c r="C699" s="794" t="s">
        <v>401</v>
      </c>
      <c r="D699" s="794"/>
      <c r="E699" s="794"/>
      <c r="F699" s="794"/>
      <c r="G699" s="116"/>
      <c r="H699" s="117"/>
      <c r="I699" s="118"/>
      <c r="J699" s="119"/>
      <c r="K699" s="116"/>
      <c r="L699" s="117"/>
      <c r="M699" s="118"/>
      <c r="N699" s="119"/>
    </row>
    <row r="700" spans="1:14" outlineLevel="2">
      <c r="B700" s="9"/>
      <c r="C700" s="9"/>
      <c r="D700" s="9"/>
      <c r="E700" s="9"/>
      <c r="F700" s="9"/>
      <c r="G700" s="116"/>
      <c r="H700" s="117"/>
      <c r="I700" s="118"/>
      <c r="J700" s="119"/>
      <c r="K700" s="116"/>
      <c r="L700" s="117"/>
      <c r="M700" s="118"/>
      <c r="N700" s="119"/>
    </row>
    <row r="701" spans="1:14" outlineLevel="2">
      <c r="B701" s="9"/>
      <c r="C701" s="536" t="s">
        <v>98</v>
      </c>
      <c r="D701" s="537"/>
      <c r="E701" s="537"/>
      <c r="F701" s="538"/>
      <c r="G701" s="116"/>
      <c r="H701" s="117"/>
      <c r="I701" s="118"/>
      <c r="J701" s="119"/>
      <c r="K701" s="116"/>
      <c r="L701" s="117"/>
      <c r="M701" s="118"/>
      <c r="N701" s="119"/>
    </row>
    <row r="702" spans="1:14" outlineLevel="2">
      <c r="B702" s="9"/>
      <c r="C702" s="539"/>
      <c r="D702" s="540"/>
      <c r="E702" s="540"/>
      <c r="F702" s="541"/>
      <c r="G702" s="116"/>
      <c r="H702" s="117"/>
      <c r="I702" s="118"/>
      <c r="J702" s="119"/>
      <c r="K702" s="116"/>
      <c r="L702" s="117"/>
      <c r="M702" s="118"/>
      <c r="N702" s="119"/>
    </row>
    <row r="703" spans="1:14" outlineLevel="2">
      <c r="B703" s="9"/>
      <c r="C703" s="539"/>
      <c r="D703" s="540"/>
      <c r="E703" s="540"/>
      <c r="F703" s="541"/>
      <c r="G703" s="116"/>
      <c r="H703" s="117"/>
      <c r="I703" s="118"/>
      <c r="J703" s="119"/>
      <c r="K703" s="116"/>
      <c r="L703" s="117"/>
      <c r="M703" s="118"/>
      <c r="N703" s="119"/>
    </row>
    <row r="704" spans="1:14" outlineLevel="2">
      <c r="B704" s="9"/>
      <c r="C704" s="542"/>
      <c r="D704" s="543"/>
      <c r="E704" s="543"/>
      <c r="F704" s="544"/>
      <c r="G704" s="116"/>
      <c r="H704" s="117"/>
      <c r="I704" s="118"/>
      <c r="J704" s="119"/>
      <c r="K704" s="116"/>
      <c r="L704" s="117"/>
      <c r="M704" s="118"/>
      <c r="N704" s="119"/>
    </row>
    <row r="705" spans="1:14" outlineLevel="2">
      <c r="B705" s="9"/>
      <c r="C705" s="9"/>
      <c r="D705" s="9"/>
      <c r="E705" s="9"/>
      <c r="F705" s="9"/>
      <c r="G705" s="116"/>
      <c r="H705" s="117"/>
      <c r="I705" s="118"/>
      <c r="J705" s="119"/>
      <c r="K705" s="116"/>
      <c r="L705" s="117"/>
      <c r="M705" s="118"/>
      <c r="N705" s="119"/>
    </row>
    <row r="706" spans="1:14" outlineLevel="1">
      <c r="B706" s="9"/>
      <c r="C706" s="9"/>
      <c r="D706" s="9"/>
      <c r="E706" s="9"/>
      <c r="F706" s="9"/>
      <c r="G706" s="116"/>
      <c r="H706" s="117"/>
      <c r="I706" s="118"/>
      <c r="J706" s="119"/>
      <c r="K706" s="116"/>
      <c r="L706" s="117"/>
      <c r="M706" s="118"/>
      <c r="N706" s="119"/>
    </row>
    <row r="707" spans="1:14">
      <c r="B707" s="9"/>
      <c r="C707" s="9"/>
      <c r="D707" s="9"/>
      <c r="E707" s="9"/>
      <c r="F707" s="9"/>
      <c r="G707" s="116"/>
      <c r="H707" s="117"/>
      <c r="I707" s="118"/>
      <c r="J707" s="119"/>
      <c r="K707" s="116"/>
      <c r="L707" s="117"/>
      <c r="M707" s="118"/>
      <c r="N707" s="119"/>
    </row>
    <row r="708" spans="1:14">
      <c r="G708" s="116"/>
      <c r="H708" s="117"/>
      <c r="I708" s="118"/>
      <c r="J708" s="119"/>
      <c r="K708" s="116"/>
      <c r="L708" s="117"/>
      <c r="M708" s="118"/>
      <c r="N708" s="119"/>
    </row>
    <row r="709" spans="1:14" ht="21">
      <c r="A709" s="86"/>
      <c r="B709" s="85" t="s">
        <v>1185</v>
      </c>
      <c r="C709" s="86"/>
      <c r="D709" s="86"/>
      <c r="E709" s="86"/>
      <c r="F709" s="86"/>
      <c r="G709" s="116"/>
      <c r="H709" s="117"/>
      <c r="I709" s="118"/>
      <c r="J709" s="119"/>
      <c r="K709" s="116"/>
      <c r="L709" s="117"/>
      <c r="M709" s="118"/>
      <c r="N709" s="119"/>
    </row>
    <row r="710" spans="1:14" ht="15" outlineLevel="1" thickBot="1">
      <c r="B710" s="86"/>
      <c r="C710" s="86"/>
      <c r="D710" s="86"/>
      <c r="E710" s="86"/>
      <c r="F710" s="86"/>
      <c r="G710" s="116"/>
      <c r="H710" s="117"/>
      <c r="I710" s="118"/>
      <c r="J710" s="119"/>
      <c r="K710" s="116"/>
      <c r="L710" s="117"/>
      <c r="M710" s="118"/>
      <c r="N710" s="119"/>
    </row>
    <row r="711" spans="1:14" outlineLevel="1">
      <c r="B711" s="86"/>
      <c r="C711" s="86"/>
      <c r="D711" s="562" t="s">
        <v>186</v>
      </c>
      <c r="E711" s="563"/>
      <c r="F711" s="563"/>
      <c r="G711" s="205"/>
      <c r="H711" s="206"/>
      <c r="I711" s="207"/>
      <c r="J711" s="208"/>
      <c r="K711" s="205"/>
      <c r="L711" s="206"/>
      <c r="M711" s="207"/>
      <c r="N711" s="209"/>
    </row>
    <row r="712" spans="1:14" outlineLevel="1">
      <c r="B712" s="86"/>
      <c r="C712" s="86"/>
      <c r="D712" s="607" t="s">
        <v>187</v>
      </c>
      <c r="E712" s="608"/>
      <c r="F712" s="608"/>
      <c r="G712" s="210"/>
      <c r="H712" s="211"/>
      <c r="I712" s="212"/>
      <c r="J712" s="213"/>
      <c r="K712" s="210"/>
      <c r="L712" s="211"/>
      <c r="M712" s="212"/>
      <c r="N712" s="214"/>
    </row>
    <row r="713" spans="1:14" outlineLevel="1">
      <c r="B713" s="86"/>
      <c r="C713" s="791" t="str">
        <f>IF('Datos ensayos LUM.'!AR60=FALSE,"FALTA INFORMACIÓN SOBRE DIMENSIONES. IMPRESCINDIBLE","")</f>
        <v/>
      </c>
      <c r="D713" s="589" t="s">
        <v>178</v>
      </c>
      <c r="E713" s="590"/>
      <c r="F713" s="42" t="s">
        <v>179</v>
      </c>
      <c r="G713" s="210">
        <f t="shared" ref="G713:H715" si="1">G17</f>
        <v>0</v>
      </c>
      <c r="H713" s="211">
        <f t="shared" si="1"/>
        <v>0</v>
      </c>
      <c r="I713" s="212">
        <f t="shared" ref="I713:N713" si="2">I17</f>
        <v>0</v>
      </c>
      <c r="J713" s="213">
        <f t="shared" si="2"/>
        <v>0</v>
      </c>
      <c r="K713" s="210">
        <f t="shared" si="2"/>
        <v>0</v>
      </c>
      <c r="L713" s="211">
        <f t="shared" si="2"/>
        <v>0</v>
      </c>
      <c r="M713" s="212">
        <f t="shared" si="2"/>
        <v>0</v>
      </c>
      <c r="N713" s="214">
        <f t="shared" si="2"/>
        <v>0</v>
      </c>
    </row>
    <row r="714" spans="1:14" outlineLevel="1">
      <c r="B714" s="86"/>
      <c r="C714" s="791"/>
      <c r="D714" s="589"/>
      <c r="E714" s="590"/>
      <c r="F714" s="42" t="s">
        <v>180</v>
      </c>
      <c r="G714" s="210">
        <f t="shared" si="1"/>
        <v>0</v>
      </c>
      <c r="H714" s="211">
        <f t="shared" si="1"/>
        <v>0</v>
      </c>
      <c r="I714" s="212">
        <f t="shared" ref="I714:N714" si="3">I18</f>
        <v>0</v>
      </c>
      <c r="J714" s="213">
        <f t="shared" si="3"/>
        <v>0</v>
      </c>
      <c r="K714" s="210">
        <f t="shared" si="3"/>
        <v>0</v>
      </c>
      <c r="L714" s="211">
        <f t="shared" si="3"/>
        <v>0</v>
      </c>
      <c r="M714" s="212">
        <f t="shared" si="3"/>
        <v>0</v>
      </c>
      <c r="N714" s="214">
        <f t="shared" si="3"/>
        <v>0</v>
      </c>
    </row>
    <row r="715" spans="1:14" ht="15" outlineLevel="1" thickBot="1">
      <c r="B715" s="86"/>
      <c r="C715" s="791"/>
      <c r="D715" s="744"/>
      <c r="E715" s="745"/>
      <c r="F715" s="220" t="s">
        <v>181</v>
      </c>
      <c r="G715" s="215">
        <f t="shared" si="1"/>
        <v>0</v>
      </c>
      <c r="H715" s="216">
        <f t="shared" si="1"/>
        <v>0</v>
      </c>
      <c r="I715" s="217">
        <f t="shared" ref="I715:N715" si="4">I19</f>
        <v>0</v>
      </c>
      <c r="J715" s="218">
        <f t="shared" si="4"/>
        <v>0</v>
      </c>
      <c r="K715" s="215">
        <f t="shared" si="4"/>
        <v>0</v>
      </c>
      <c r="L715" s="216">
        <f t="shared" si="4"/>
        <v>0</v>
      </c>
      <c r="M715" s="217">
        <f t="shared" si="4"/>
        <v>0</v>
      </c>
      <c r="N715" s="219">
        <f t="shared" si="4"/>
        <v>0</v>
      </c>
    </row>
    <row r="716" spans="1:14" ht="15" outlineLevel="1" thickBot="1">
      <c r="B716" s="86"/>
      <c r="C716" s="791"/>
      <c r="D716" s="224" t="s">
        <v>183</v>
      </c>
      <c r="E716" s="225"/>
      <c r="F716" s="225"/>
      <c r="G716" s="221" t="str">
        <f>'Datos ensayos LUM.'!AQ41</f>
        <v>N/A</v>
      </c>
      <c r="H716" s="222" t="str">
        <f>'Datos ensayos LUM.'!AR41</f>
        <v>N/A</v>
      </c>
      <c r="I716" s="223" t="str">
        <f>'Datos ensayos LUM.'!AS41</f>
        <v>N/A</v>
      </c>
      <c r="J716" s="226" t="str">
        <f>'Datos ensayos LUM.'!AT41</f>
        <v>N/A</v>
      </c>
      <c r="K716" s="221" t="str">
        <f>'Datos ensayos LUM.'!AU41</f>
        <v>N/A</v>
      </c>
      <c r="L716" s="222" t="str">
        <f>'Datos ensayos LUM.'!AV41</f>
        <v>N/A</v>
      </c>
      <c r="M716" s="223" t="str">
        <f>'Datos ensayos LUM.'!AW41</f>
        <v>N/A</v>
      </c>
      <c r="N716" s="227" t="str">
        <f>'Datos ensayos LUM.'!AX41</f>
        <v>N/A</v>
      </c>
    </row>
    <row r="717" spans="1:14" outlineLevel="1">
      <c r="B717" s="86"/>
      <c r="C717" s="86"/>
      <c r="D717" s="86"/>
      <c r="E717" s="86"/>
      <c r="F717" s="86"/>
      <c r="G717" s="135"/>
      <c r="H717" s="136"/>
      <c r="I717" s="137"/>
      <c r="J717" s="119"/>
      <c r="K717" s="116"/>
      <c r="L717" s="117"/>
      <c r="M717" s="118"/>
      <c r="N717" s="119"/>
    </row>
    <row r="718" spans="1:14" outlineLevel="1">
      <c r="B718" s="86"/>
      <c r="C718" s="202" t="s">
        <v>429</v>
      </c>
      <c r="D718" s="86"/>
      <c r="E718" s="86"/>
      <c r="F718" s="86"/>
      <c r="G718" s="116"/>
      <c r="H718" s="117"/>
      <c r="I718" s="118"/>
      <c r="J718" s="119"/>
      <c r="K718" s="116"/>
      <c r="L718" s="117"/>
      <c r="M718" s="118"/>
      <c r="N718" s="119"/>
    </row>
    <row r="719" spans="1:14" outlineLevel="1">
      <c r="B719" s="86"/>
      <c r="C719" s="86"/>
      <c r="D719" s="86"/>
      <c r="E719" s="86"/>
      <c r="F719" s="86"/>
      <c r="G719" s="116"/>
      <c r="H719" s="117"/>
      <c r="I719" s="118"/>
      <c r="J719" s="119"/>
      <c r="K719" s="116"/>
      <c r="L719" s="117"/>
      <c r="M719" s="118"/>
      <c r="N719" s="119"/>
    </row>
    <row r="720" spans="1:14" outlineLevel="1">
      <c r="B720" s="10"/>
      <c r="C720" s="10"/>
      <c r="D720" s="10"/>
      <c r="E720" s="10"/>
      <c r="F720" s="10"/>
      <c r="G720" s="116"/>
      <c r="H720" s="117"/>
      <c r="I720" s="118"/>
      <c r="J720" s="119"/>
      <c r="K720" s="116"/>
      <c r="L720" s="117"/>
      <c r="M720" s="118"/>
      <c r="N720" s="119"/>
    </row>
    <row r="721" spans="1:14" outlineLevel="1">
      <c r="A721" s="10"/>
      <c r="B721" s="46" t="s">
        <v>1187</v>
      </c>
      <c r="C721" s="46" t="s">
        <v>185</v>
      </c>
      <c r="D721" s="10"/>
      <c r="E721" s="10"/>
      <c r="F721" s="10"/>
      <c r="G721" s="116"/>
      <c r="H721" s="117"/>
      <c r="I721" s="118"/>
      <c r="J721" s="119"/>
      <c r="K721" s="116"/>
      <c r="L721" s="117"/>
      <c r="M721" s="118"/>
      <c r="N721" s="119"/>
    </row>
    <row r="722" spans="1:14" ht="15" customHeight="1" outlineLevel="1">
      <c r="B722" s="10"/>
      <c r="C722" s="789" t="str">
        <f>IF(AND('Datos ensayos LUM.'!AR59=FALSE,'Datos ensayos LUM.'!AR55=FALSE),"FALTA POR MARCAR GRADO IP EN 'RESUMEN PROYECTO'","")</f>
        <v>FALTA POR MARCAR GRADO IP EN 'RESUMEN PROYECTO'</v>
      </c>
      <c r="D722" s="36" t="s">
        <v>108</v>
      </c>
      <c r="E722" s="36" t="s">
        <v>109</v>
      </c>
      <c r="F722" s="36" t="s">
        <v>110</v>
      </c>
      <c r="G722" s="116"/>
      <c r="H722" s="117"/>
      <c r="I722" s="118"/>
      <c r="J722" s="119"/>
      <c r="K722" s="116"/>
      <c r="L722" s="117"/>
      <c r="M722" s="118"/>
      <c r="N722" s="119"/>
    </row>
    <row r="723" spans="1:14" outlineLevel="1">
      <c r="B723" s="10"/>
      <c r="C723" s="789"/>
      <c r="D723" s="313"/>
      <c r="E723" s="313"/>
      <c r="F723" s="38"/>
      <c r="G723" s="116"/>
      <c r="H723" s="117"/>
      <c r="I723" s="118"/>
      <c r="J723" s="119"/>
      <c r="K723" s="116"/>
      <c r="L723" s="117"/>
      <c r="M723" s="118"/>
      <c r="N723" s="119"/>
    </row>
    <row r="724" spans="1:14" outlineLevel="2">
      <c r="B724" s="10"/>
      <c r="C724" s="790"/>
      <c r="D724" s="10"/>
      <c r="E724" s="10"/>
      <c r="F724" s="10"/>
      <c r="G724" s="116"/>
      <c r="H724" s="117"/>
      <c r="I724" s="118"/>
      <c r="J724" s="119"/>
      <c r="K724" s="116"/>
      <c r="L724" s="117"/>
      <c r="M724" s="118"/>
      <c r="N724" s="119"/>
    </row>
    <row r="725" spans="1:14" outlineLevel="2">
      <c r="B725" s="10"/>
      <c r="C725" s="536" t="s">
        <v>98</v>
      </c>
      <c r="D725" s="537"/>
      <c r="E725" s="537"/>
      <c r="F725" s="538"/>
      <c r="G725" s="116"/>
      <c r="H725" s="117"/>
      <c r="I725" s="118"/>
      <c r="J725" s="119"/>
      <c r="K725" s="116"/>
      <c r="L725" s="117"/>
      <c r="M725" s="118"/>
      <c r="N725" s="119"/>
    </row>
    <row r="726" spans="1:14" outlineLevel="2">
      <c r="B726" s="10"/>
      <c r="C726" s="539"/>
      <c r="D726" s="540"/>
      <c r="E726" s="540"/>
      <c r="F726" s="541"/>
      <c r="G726" s="116"/>
      <c r="H726" s="117"/>
      <c r="I726" s="118"/>
      <c r="J726" s="119"/>
      <c r="K726" s="116"/>
      <c r="L726" s="117"/>
      <c r="M726" s="118"/>
      <c r="N726" s="119"/>
    </row>
    <row r="727" spans="1:14" outlineLevel="2">
      <c r="B727" s="10"/>
      <c r="C727" s="539"/>
      <c r="D727" s="540"/>
      <c r="E727" s="540"/>
      <c r="F727" s="541"/>
      <c r="G727" s="116"/>
      <c r="H727" s="117"/>
      <c r="I727" s="118"/>
      <c r="J727" s="119"/>
      <c r="K727" s="116"/>
      <c r="L727" s="117"/>
      <c r="M727" s="118"/>
      <c r="N727" s="119"/>
    </row>
    <row r="728" spans="1:14" outlineLevel="2">
      <c r="B728" s="10"/>
      <c r="C728" s="542"/>
      <c r="D728" s="543"/>
      <c r="E728" s="543"/>
      <c r="F728" s="544"/>
      <c r="G728" s="116"/>
      <c r="H728" s="117"/>
      <c r="I728" s="118"/>
      <c r="J728" s="119"/>
      <c r="K728" s="116"/>
      <c r="L728" s="117"/>
      <c r="M728" s="118"/>
      <c r="N728" s="119"/>
    </row>
    <row r="729" spans="1:14" outlineLevel="2">
      <c r="B729" s="10"/>
      <c r="C729" s="10" t="s">
        <v>182</v>
      </c>
      <c r="D729" s="10"/>
      <c r="E729" s="10"/>
      <c r="F729" s="10"/>
      <c r="G729" s="116"/>
      <c r="H729" s="117"/>
      <c r="I729" s="118"/>
      <c r="J729" s="119"/>
      <c r="K729" s="116"/>
      <c r="L729" s="117"/>
      <c r="M729" s="118"/>
      <c r="N729" s="119"/>
    </row>
    <row r="730" spans="1:14" outlineLevel="2">
      <c r="B730" s="10"/>
      <c r="C730" s="10"/>
      <c r="D730" s="10"/>
      <c r="E730" s="10"/>
      <c r="F730" s="10"/>
      <c r="G730" s="116"/>
      <c r="H730" s="117"/>
      <c r="I730" s="118"/>
      <c r="J730" s="119"/>
      <c r="K730" s="116"/>
      <c r="L730" s="117"/>
      <c r="M730" s="118"/>
      <c r="N730" s="119"/>
    </row>
    <row r="731" spans="1:14" outlineLevel="2">
      <c r="B731" s="10"/>
      <c r="C731" s="788" t="str">
        <f>IF('Datos ensayos LUM.'!AR46=TRUE,"Ojo, equipo muy grande para ensayo con arco de lluvia. Se utiliza cabeza de regadera: DESVIACIÓN AL MÉTODO","")</f>
        <v/>
      </c>
      <c r="D731" s="788"/>
      <c r="E731" s="788"/>
      <c r="F731" s="788"/>
      <c r="G731" s="116"/>
      <c r="H731" s="117"/>
      <c r="I731" s="118"/>
      <c r="J731" s="119"/>
      <c r="K731" s="116"/>
      <c r="L731" s="117"/>
      <c r="M731" s="118"/>
      <c r="N731" s="119"/>
    </row>
    <row r="732" spans="1:14" outlineLevel="2">
      <c r="B732" s="10"/>
      <c r="C732" s="788"/>
      <c r="D732" s="788"/>
      <c r="E732" s="788"/>
      <c r="F732" s="788"/>
      <c r="G732" s="116"/>
      <c r="H732" s="117"/>
      <c r="I732" s="118"/>
      <c r="J732" s="119"/>
      <c r="K732" s="116"/>
      <c r="L732" s="117"/>
      <c r="M732" s="118"/>
      <c r="N732" s="119"/>
    </row>
    <row r="733" spans="1:14" outlineLevel="2">
      <c r="B733" s="10"/>
      <c r="C733" s="231"/>
      <c r="D733" s="10"/>
      <c r="E733" s="10"/>
      <c r="F733" s="10"/>
      <c r="G733" s="116"/>
      <c r="H733" s="117"/>
      <c r="I733" s="118"/>
      <c r="J733" s="119"/>
      <c r="K733" s="116"/>
      <c r="L733" s="117"/>
      <c r="M733" s="118"/>
      <c r="N733" s="119"/>
    </row>
    <row r="734" spans="1:14" outlineLevel="1">
      <c r="B734" s="10"/>
      <c r="C734" s="10"/>
      <c r="D734" s="10"/>
      <c r="E734" s="10"/>
      <c r="F734" s="10"/>
      <c r="G734" s="116"/>
      <c r="H734" s="117"/>
      <c r="I734" s="118"/>
      <c r="J734" s="119"/>
      <c r="K734" s="116"/>
      <c r="L734" s="117"/>
      <c r="M734" s="118"/>
      <c r="N734" s="119"/>
    </row>
    <row r="735" spans="1:14" outlineLevel="1">
      <c r="B735" s="76"/>
      <c r="C735" s="76"/>
      <c r="D735" s="76"/>
      <c r="E735" s="76"/>
      <c r="F735" s="76"/>
      <c r="G735" s="116"/>
      <c r="H735" s="117"/>
      <c r="I735" s="118"/>
      <c r="J735" s="119"/>
      <c r="K735" s="116"/>
      <c r="L735" s="117"/>
      <c r="M735" s="118"/>
      <c r="N735" s="119"/>
    </row>
    <row r="736" spans="1:14" outlineLevel="1">
      <c r="A736" s="76"/>
      <c r="B736" s="77" t="s">
        <v>1188</v>
      </c>
      <c r="C736" s="77" t="s">
        <v>184</v>
      </c>
      <c r="D736" s="76"/>
      <c r="E736" s="76"/>
      <c r="F736" s="76"/>
      <c r="G736" s="116"/>
      <c r="H736" s="117"/>
      <c r="I736" s="118"/>
      <c r="J736" s="119"/>
      <c r="K736" s="116"/>
      <c r="L736" s="117"/>
      <c r="M736" s="118"/>
      <c r="N736" s="119"/>
    </row>
    <row r="737" spans="1:14" outlineLevel="1">
      <c r="B737" s="76"/>
      <c r="C737" s="77"/>
      <c r="D737" s="36" t="s">
        <v>108</v>
      </c>
      <c r="E737" s="36" t="s">
        <v>109</v>
      </c>
      <c r="F737" s="36" t="s">
        <v>110</v>
      </c>
      <c r="G737" s="116"/>
      <c r="H737" s="117"/>
      <c r="I737" s="118"/>
      <c r="J737" s="119"/>
      <c r="K737" s="116"/>
      <c r="L737" s="117"/>
      <c r="M737" s="118"/>
      <c r="N737" s="119"/>
    </row>
    <row r="738" spans="1:14" outlineLevel="1">
      <c r="B738" s="76"/>
      <c r="C738" s="77"/>
      <c r="D738" s="313"/>
      <c r="E738" s="313"/>
      <c r="F738" s="38"/>
      <c r="G738" s="116"/>
      <c r="H738" s="117"/>
      <c r="I738" s="118"/>
      <c r="J738" s="119"/>
      <c r="K738" s="116"/>
      <c r="L738" s="117"/>
      <c r="M738" s="118"/>
      <c r="N738" s="119"/>
    </row>
    <row r="739" spans="1:14" outlineLevel="2">
      <c r="B739" s="76"/>
      <c r="C739" s="76"/>
      <c r="D739" s="76"/>
      <c r="E739" s="76"/>
      <c r="F739" s="76"/>
      <c r="G739" s="116"/>
      <c r="H739" s="117"/>
      <c r="I739" s="118"/>
      <c r="J739" s="119"/>
      <c r="K739" s="116"/>
      <c r="L739" s="117"/>
      <c r="M739" s="118"/>
      <c r="N739" s="119"/>
    </row>
    <row r="740" spans="1:14" outlineLevel="2">
      <c r="B740" s="76"/>
      <c r="C740" s="536" t="s">
        <v>98</v>
      </c>
      <c r="D740" s="537"/>
      <c r="E740" s="537"/>
      <c r="F740" s="538"/>
      <c r="G740" s="116"/>
      <c r="H740" s="117"/>
      <c r="I740" s="118"/>
      <c r="J740" s="119"/>
      <c r="K740" s="116"/>
      <c r="L740" s="117"/>
      <c r="M740" s="118"/>
      <c r="N740" s="119"/>
    </row>
    <row r="741" spans="1:14" outlineLevel="2">
      <c r="B741" s="76"/>
      <c r="C741" s="539"/>
      <c r="D741" s="540"/>
      <c r="E741" s="540"/>
      <c r="F741" s="541"/>
      <c r="G741" s="116"/>
      <c r="H741" s="117"/>
      <c r="I741" s="118"/>
      <c r="J741" s="119"/>
      <c r="K741" s="116"/>
      <c r="L741" s="117"/>
      <c r="M741" s="118"/>
      <c r="N741" s="119"/>
    </row>
    <row r="742" spans="1:14" outlineLevel="2">
      <c r="B742" s="76"/>
      <c r="C742" s="539"/>
      <c r="D742" s="540"/>
      <c r="E742" s="540"/>
      <c r="F742" s="541"/>
      <c r="G742" s="116"/>
      <c r="H742" s="117"/>
      <c r="I742" s="118"/>
      <c r="J742" s="119"/>
      <c r="K742" s="116"/>
      <c r="L742" s="117"/>
      <c r="M742" s="118"/>
      <c r="N742" s="119"/>
    </row>
    <row r="743" spans="1:14" outlineLevel="2">
      <c r="B743" s="76"/>
      <c r="C743" s="542"/>
      <c r="D743" s="543"/>
      <c r="E743" s="543"/>
      <c r="F743" s="544"/>
      <c r="G743" s="116"/>
      <c r="H743" s="117"/>
      <c r="I743" s="118"/>
      <c r="J743" s="119"/>
      <c r="K743" s="116"/>
      <c r="L743" s="117"/>
      <c r="M743" s="118"/>
      <c r="N743" s="119"/>
    </row>
    <row r="744" spans="1:14" outlineLevel="2">
      <c r="B744" s="76"/>
      <c r="C744" s="76"/>
      <c r="D744" s="76"/>
      <c r="E744" s="76"/>
      <c r="F744" s="76"/>
      <c r="G744" s="116"/>
      <c r="H744" s="117"/>
      <c r="I744" s="118"/>
      <c r="J744" s="119"/>
      <c r="K744" s="116"/>
      <c r="L744" s="117"/>
      <c r="M744" s="118"/>
      <c r="N744" s="119"/>
    </row>
    <row r="745" spans="1:14" outlineLevel="1">
      <c r="B745" s="76"/>
      <c r="C745" s="76"/>
      <c r="D745" s="76"/>
      <c r="E745" s="76"/>
      <c r="F745" s="76"/>
      <c r="G745" s="116"/>
      <c r="H745" s="117"/>
      <c r="I745" s="118"/>
      <c r="J745" s="119"/>
      <c r="K745" s="116"/>
      <c r="L745" s="117"/>
      <c r="M745" s="118"/>
      <c r="N745" s="119"/>
    </row>
    <row r="746" spans="1:14" outlineLevel="1">
      <c r="B746" s="86"/>
      <c r="C746" s="86"/>
      <c r="D746" s="86"/>
      <c r="E746" s="86"/>
      <c r="F746" s="86"/>
      <c r="G746" s="116"/>
      <c r="H746" s="117"/>
      <c r="I746" s="118"/>
      <c r="J746" s="119"/>
      <c r="K746" s="116"/>
      <c r="L746" s="117"/>
      <c r="M746" s="118"/>
      <c r="N746" s="119"/>
    </row>
    <row r="747" spans="1:14" outlineLevel="1">
      <c r="A747" s="56"/>
      <c r="B747" s="87" t="s">
        <v>1189</v>
      </c>
      <c r="C747" s="87" t="s">
        <v>188</v>
      </c>
      <c r="D747" s="86"/>
      <c r="E747" s="86"/>
      <c r="F747" s="86"/>
      <c r="G747" s="116"/>
      <c r="H747" s="117"/>
      <c r="I747" s="118"/>
      <c r="J747" s="119"/>
      <c r="K747" s="116"/>
      <c r="L747" s="117"/>
      <c r="M747" s="118"/>
      <c r="N747" s="119"/>
    </row>
    <row r="748" spans="1:14" outlineLevel="1">
      <c r="B748" s="86"/>
      <c r="C748" s="86"/>
      <c r="D748" s="36" t="s">
        <v>108</v>
      </c>
      <c r="E748" s="36" t="s">
        <v>109</v>
      </c>
      <c r="F748" s="36" t="s">
        <v>110</v>
      </c>
      <c r="G748" s="116"/>
      <c r="H748" s="117"/>
      <c r="I748" s="118"/>
      <c r="J748" s="119"/>
      <c r="K748" s="116"/>
      <c r="L748" s="117"/>
      <c r="M748" s="118"/>
      <c r="N748" s="119"/>
    </row>
    <row r="749" spans="1:14" outlineLevel="1">
      <c r="A749" s="168"/>
      <c r="B749" s="86"/>
      <c r="C749" s="86"/>
      <c r="D749" s="37"/>
      <c r="E749" s="88"/>
      <c r="F749" s="38">
        <v>15</v>
      </c>
      <c r="G749" s="116"/>
      <c r="H749" s="117"/>
      <c r="I749" s="118"/>
      <c r="J749" s="119"/>
      <c r="K749" s="116"/>
      <c r="L749" s="117"/>
      <c r="M749" s="118"/>
      <c r="N749" s="119"/>
    </row>
    <row r="750" spans="1:14" outlineLevel="2">
      <c r="A750" s="168"/>
      <c r="B750" s="86"/>
      <c r="C750" s="86"/>
      <c r="D750" s="86"/>
      <c r="E750" s="86"/>
      <c r="F750" s="86"/>
      <c r="G750" s="116"/>
      <c r="H750" s="117"/>
      <c r="I750" s="118"/>
      <c r="J750" s="119"/>
      <c r="K750" s="116"/>
      <c r="L750" s="117"/>
      <c r="M750" s="118"/>
      <c r="N750" s="119"/>
    </row>
    <row r="751" spans="1:14" outlineLevel="2">
      <c r="A751" s="168"/>
      <c r="B751" s="86"/>
      <c r="C751" s="86"/>
      <c r="D751" s="86"/>
      <c r="E751" s="86"/>
      <c r="F751" s="86"/>
      <c r="G751" s="116"/>
      <c r="H751" s="117"/>
      <c r="I751" s="118"/>
      <c r="J751" s="119"/>
      <c r="K751" s="116"/>
      <c r="L751" s="117"/>
      <c r="M751" s="118"/>
      <c r="N751" s="119"/>
    </row>
    <row r="752" spans="1:14" outlineLevel="2">
      <c r="A752" s="168"/>
      <c r="B752" s="86"/>
      <c r="C752" s="86"/>
      <c r="D752" s="517" t="str">
        <f>IF('Datos ensayos LUM.'!AP88=FALSE,"COMPLETAR ENSAYO DE HUMEDAD 48H","")</f>
        <v>COMPLETAR ENSAYO DE HUMEDAD 48H</v>
      </c>
      <c r="E752" s="86"/>
      <c r="F752" s="86"/>
      <c r="G752" s="116"/>
      <c r="H752" s="117"/>
      <c r="I752" s="118"/>
      <c r="J752" s="119"/>
      <c r="K752" s="116"/>
      <c r="L752" s="117"/>
      <c r="M752" s="118"/>
      <c r="N752" s="119"/>
    </row>
    <row r="753" spans="1:14" outlineLevel="2">
      <c r="A753" s="168"/>
      <c r="B753" s="86"/>
      <c r="C753" s="86"/>
      <c r="D753" s="86"/>
      <c r="E753" s="798" t="s">
        <v>978</v>
      </c>
      <c r="F753" s="521" t="s">
        <v>948</v>
      </c>
      <c r="G753" s="515"/>
      <c r="H753" s="515"/>
      <c r="I753" s="515"/>
      <c r="J753" s="515"/>
      <c r="K753" s="515"/>
      <c r="L753" s="515"/>
      <c r="M753" s="515"/>
      <c r="N753" s="515"/>
    </row>
    <row r="754" spans="1:14" outlineLevel="2">
      <c r="A754" s="168"/>
      <c r="B754" s="86"/>
      <c r="C754" s="86"/>
      <c r="D754" s="86"/>
      <c r="E754" s="798"/>
      <c r="F754" s="521" t="s">
        <v>989</v>
      </c>
      <c r="G754" s="516"/>
      <c r="H754" s="516"/>
      <c r="I754" s="516"/>
      <c r="J754" s="516"/>
      <c r="K754" s="516"/>
      <c r="L754" s="516"/>
      <c r="M754" s="516"/>
      <c r="N754" s="516"/>
    </row>
    <row r="755" spans="1:14" outlineLevel="2">
      <c r="A755" s="168"/>
      <c r="B755" s="86"/>
      <c r="C755" s="86"/>
      <c r="D755" s="86"/>
      <c r="E755" s="798"/>
      <c r="F755" s="521" t="s">
        <v>947</v>
      </c>
      <c r="G755" s="515"/>
      <c r="H755" s="515"/>
      <c r="I755" s="515"/>
      <c r="J755" s="515"/>
      <c r="K755" s="515"/>
      <c r="L755" s="515"/>
      <c r="M755" s="515"/>
      <c r="N755" s="515"/>
    </row>
    <row r="756" spans="1:14" outlineLevel="2">
      <c r="A756" s="168"/>
      <c r="B756" s="86"/>
      <c r="C756" s="86"/>
      <c r="D756" s="86"/>
      <c r="E756" s="798"/>
      <c r="F756" s="521" t="s">
        <v>990</v>
      </c>
      <c r="G756" s="516"/>
      <c r="H756" s="516"/>
      <c r="I756" s="516"/>
      <c r="J756" s="516"/>
      <c r="K756" s="516"/>
      <c r="L756" s="516"/>
      <c r="M756" s="516"/>
      <c r="N756" s="516"/>
    </row>
    <row r="757" spans="1:14" outlineLevel="2">
      <c r="A757" s="168"/>
      <c r="B757" s="86"/>
      <c r="C757" s="86"/>
      <c r="D757" s="86"/>
      <c r="E757" s="86"/>
      <c r="F757" s="86"/>
      <c r="G757" s="116"/>
      <c r="H757" s="117"/>
      <c r="I757" s="118"/>
      <c r="J757" s="119"/>
      <c r="K757" s="116"/>
      <c r="L757" s="117"/>
      <c r="M757" s="118"/>
      <c r="N757" s="119"/>
    </row>
    <row r="758" spans="1:14" outlineLevel="2">
      <c r="A758" s="168"/>
      <c r="B758" s="86"/>
      <c r="C758" s="42" t="s">
        <v>979</v>
      </c>
      <c r="D758" s="237" t="s">
        <v>980</v>
      </c>
      <c r="E758" s="86"/>
      <c r="F758" s="86"/>
      <c r="G758" s="116"/>
      <c r="H758" s="117"/>
      <c r="I758" s="118"/>
      <c r="J758" s="119"/>
      <c r="K758" s="116"/>
      <c r="L758" s="117"/>
      <c r="M758" s="118"/>
      <c r="N758" s="119"/>
    </row>
    <row r="759" spans="1:14" outlineLevel="2">
      <c r="A759" s="168"/>
      <c r="B759" s="86"/>
      <c r="C759" s="42" t="s">
        <v>981</v>
      </c>
      <c r="D759" s="512">
        <v>0.93</v>
      </c>
      <c r="E759" s="86"/>
      <c r="F759" s="86"/>
      <c r="G759" s="116"/>
      <c r="H759" s="117"/>
      <c r="I759" s="118"/>
      <c r="J759" s="119"/>
      <c r="K759" s="116"/>
      <c r="L759" s="117"/>
      <c r="M759" s="118"/>
      <c r="N759" s="119"/>
    </row>
    <row r="760" spans="1:14" outlineLevel="2">
      <c r="A760" s="168"/>
      <c r="B760" s="86"/>
      <c r="C760" s="86"/>
      <c r="D760" s="86"/>
      <c r="E760" s="86"/>
      <c r="F760" s="86"/>
      <c r="G760" s="116"/>
      <c r="H760" s="117"/>
      <c r="I760" s="118"/>
      <c r="J760" s="119"/>
      <c r="K760" s="116"/>
      <c r="L760" s="117"/>
      <c r="M760" s="118"/>
      <c r="N760" s="119"/>
    </row>
    <row r="761" spans="1:14" outlineLevel="2">
      <c r="B761" s="86"/>
      <c r="C761" s="86"/>
      <c r="D761" s="86"/>
      <c r="E761" s="86"/>
      <c r="F761" s="86"/>
      <c r="G761" s="116"/>
      <c r="H761" s="117"/>
      <c r="I761" s="118"/>
      <c r="J761" s="119"/>
      <c r="K761" s="116"/>
      <c r="L761" s="117"/>
      <c r="M761" s="118"/>
      <c r="N761" s="119"/>
    </row>
    <row r="762" spans="1:14" outlineLevel="2">
      <c r="B762" s="86"/>
      <c r="C762" s="536" t="s">
        <v>189</v>
      </c>
      <c r="D762" s="537"/>
      <c r="E762" s="537"/>
      <c r="F762" s="538"/>
      <c r="G762" s="116"/>
      <c r="H762" s="117"/>
      <c r="I762" s="118"/>
      <c r="J762" s="119"/>
      <c r="K762" s="116"/>
      <c r="L762" s="117"/>
      <c r="M762" s="118"/>
      <c r="N762" s="119"/>
    </row>
    <row r="763" spans="1:14" outlineLevel="2">
      <c r="B763" s="86"/>
      <c r="C763" s="539"/>
      <c r="D763" s="540"/>
      <c r="E763" s="540"/>
      <c r="F763" s="541"/>
      <c r="G763" s="116"/>
      <c r="H763" s="117"/>
      <c r="I763" s="118"/>
      <c r="J763" s="119"/>
      <c r="K763" s="116"/>
      <c r="L763" s="117"/>
      <c r="M763" s="118"/>
      <c r="N763" s="119"/>
    </row>
    <row r="764" spans="1:14" outlineLevel="2">
      <c r="B764" s="86"/>
      <c r="C764" s="539"/>
      <c r="D764" s="540"/>
      <c r="E764" s="540"/>
      <c r="F764" s="541"/>
      <c r="G764" s="116"/>
      <c r="H764" s="117"/>
      <c r="I764" s="118"/>
      <c r="J764" s="119"/>
      <c r="K764" s="116"/>
      <c r="L764" s="117"/>
      <c r="M764" s="118"/>
      <c r="N764" s="119"/>
    </row>
    <row r="765" spans="1:14" outlineLevel="2">
      <c r="B765" s="86"/>
      <c r="C765" s="542"/>
      <c r="D765" s="543"/>
      <c r="E765" s="543"/>
      <c r="F765" s="544"/>
      <c r="G765" s="116"/>
      <c r="H765" s="117"/>
      <c r="I765" s="118"/>
      <c r="J765" s="119"/>
      <c r="K765" s="116"/>
      <c r="L765" s="117"/>
      <c r="M765" s="118"/>
      <c r="N765" s="119"/>
    </row>
    <row r="766" spans="1:14" outlineLevel="2">
      <c r="B766" s="86"/>
      <c r="C766" s="86"/>
      <c r="D766" s="86"/>
      <c r="E766" s="86"/>
      <c r="F766" s="86"/>
      <c r="G766" s="116"/>
      <c r="H766" s="117"/>
      <c r="I766" s="118"/>
      <c r="J766" s="119"/>
      <c r="K766" s="116"/>
      <c r="L766" s="117"/>
      <c r="M766" s="118"/>
      <c r="N766" s="119"/>
    </row>
    <row r="767" spans="1:14">
      <c r="B767" s="86"/>
      <c r="C767" s="86"/>
      <c r="D767" s="86"/>
      <c r="E767" s="86"/>
      <c r="F767" s="86"/>
      <c r="G767" s="116"/>
      <c r="H767" s="117"/>
      <c r="I767" s="118"/>
      <c r="J767" s="119"/>
      <c r="K767" s="116"/>
      <c r="L767" s="117"/>
      <c r="M767" s="118"/>
      <c r="N767" s="119"/>
    </row>
    <row r="768" spans="1:14">
      <c r="G768" s="116"/>
      <c r="H768" s="117"/>
      <c r="I768" s="118"/>
      <c r="J768" s="119"/>
      <c r="K768" s="116"/>
      <c r="L768" s="117"/>
      <c r="M768" s="118"/>
      <c r="N768" s="119"/>
    </row>
    <row r="769" spans="1:14" ht="21">
      <c r="A769" s="9"/>
      <c r="B769" s="79" t="s">
        <v>1190</v>
      </c>
      <c r="C769" s="9"/>
      <c r="D769" s="9"/>
      <c r="E769" s="9"/>
      <c r="F769" s="9"/>
      <c r="G769" s="116"/>
      <c r="H769" s="117"/>
      <c r="I769" s="118"/>
      <c r="J769" s="119"/>
      <c r="K769" s="116"/>
      <c r="L769" s="117"/>
      <c r="M769" s="118"/>
      <c r="N769" s="119"/>
    </row>
    <row r="770" spans="1:14" outlineLevel="1">
      <c r="B770" s="9"/>
      <c r="C770" s="9"/>
      <c r="D770" s="9"/>
      <c r="E770" s="9"/>
      <c r="F770" s="9"/>
      <c r="G770" s="116"/>
      <c r="H770" s="117"/>
      <c r="I770" s="118"/>
      <c r="J770" s="119"/>
      <c r="K770" s="116"/>
      <c r="L770" s="117"/>
      <c r="M770" s="118"/>
      <c r="N770" s="119"/>
    </row>
    <row r="771" spans="1:14" outlineLevel="1">
      <c r="A771" s="9"/>
      <c r="B771" s="61" t="s">
        <v>1192</v>
      </c>
      <c r="C771" s="61" t="s">
        <v>16</v>
      </c>
      <c r="D771" s="9"/>
      <c r="E771" s="9"/>
      <c r="F771" s="9"/>
      <c r="G771" s="116"/>
      <c r="H771" s="117"/>
      <c r="I771" s="118"/>
      <c r="J771" s="119"/>
      <c r="K771" s="116"/>
      <c r="L771" s="117"/>
      <c r="M771" s="118"/>
      <c r="N771" s="119"/>
    </row>
    <row r="772" spans="1:14" outlineLevel="1">
      <c r="B772" s="9"/>
      <c r="C772" s="9"/>
      <c r="D772" s="36" t="s">
        <v>108</v>
      </c>
      <c r="E772" s="36" t="s">
        <v>109</v>
      </c>
      <c r="F772" s="36" t="s">
        <v>110</v>
      </c>
      <c r="G772" s="116"/>
      <c r="H772" s="117"/>
      <c r="I772" s="118"/>
      <c r="J772" s="119"/>
      <c r="K772" s="116"/>
      <c r="L772" s="117"/>
      <c r="M772" s="118"/>
      <c r="N772" s="119"/>
    </row>
    <row r="773" spans="1:14" outlineLevel="1">
      <c r="B773" s="9"/>
      <c r="C773" s="253" t="s">
        <v>396</v>
      </c>
      <c r="D773" s="37"/>
      <c r="E773" s="88"/>
      <c r="F773" s="38"/>
      <c r="G773" s="116"/>
      <c r="H773" s="117"/>
      <c r="I773" s="118"/>
      <c r="J773" s="119"/>
      <c r="K773" s="116"/>
      <c r="L773" s="117"/>
      <c r="M773" s="118"/>
      <c r="N773" s="119"/>
    </row>
    <row r="774" spans="1:14" outlineLevel="1">
      <c r="B774" s="746" t="str">
        <f>IF(AND('Datos ensayos LUM.'!BE39=FALSE,'Datos ensayos LUM.'!BE32=FALSE),"SELECCIONA EQUIPO","")</f>
        <v/>
      </c>
      <c r="C774" s="9"/>
      <c r="D774" s="238"/>
      <c r="E774" s="239"/>
      <c r="F774" s="240"/>
      <c r="G774" s="116"/>
      <c r="H774" s="117"/>
      <c r="I774" s="118"/>
      <c r="J774" s="119"/>
      <c r="K774" s="116"/>
      <c r="L774" s="117"/>
      <c r="M774" s="118"/>
      <c r="N774" s="119"/>
    </row>
    <row r="775" spans="1:14" outlineLevel="1">
      <c r="B775" s="746"/>
      <c r="C775" s="9"/>
      <c r="D775" s="238"/>
      <c r="E775" s="239"/>
      <c r="F775" s="240"/>
      <c r="G775" s="116"/>
      <c r="H775" s="117"/>
      <c r="I775" s="118"/>
      <c r="J775" s="119"/>
      <c r="K775" s="116"/>
      <c r="L775" s="117"/>
      <c r="M775" s="118"/>
      <c r="N775" s="119"/>
    </row>
    <row r="776" spans="1:14" outlineLevel="1">
      <c r="B776" s="9"/>
      <c r="C776" s="9"/>
      <c r="D776" s="238"/>
      <c r="E776" s="239"/>
      <c r="F776" s="240"/>
      <c r="G776" s="116"/>
      <c r="H776" s="117"/>
      <c r="I776" s="118"/>
      <c r="J776" s="119"/>
      <c r="K776" s="116"/>
      <c r="L776" s="117"/>
      <c r="M776" s="118"/>
      <c r="N776" s="119"/>
    </row>
    <row r="777" spans="1:14" outlineLevel="2">
      <c r="B777" s="9"/>
      <c r="C777" s="9"/>
      <c r="D777" s="9"/>
      <c r="E777" s="9"/>
      <c r="F777" s="9"/>
      <c r="G777" s="116"/>
      <c r="H777" s="117"/>
      <c r="I777" s="118"/>
      <c r="J777" s="119"/>
      <c r="K777" s="116"/>
      <c r="L777" s="117"/>
      <c r="M777" s="118"/>
      <c r="N777" s="119"/>
    </row>
    <row r="778" spans="1:14" outlineLevel="2">
      <c r="B778" s="9"/>
      <c r="C778" s="21" t="s">
        <v>191</v>
      </c>
      <c r="D778" s="21" t="s">
        <v>190</v>
      </c>
      <c r="E778" s="9"/>
      <c r="F778" s="9"/>
      <c r="G778" s="116"/>
      <c r="H778" s="117"/>
      <c r="I778" s="118"/>
      <c r="J778" s="119"/>
      <c r="K778" s="116"/>
      <c r="L778" s="117"/>
      <c r="M778" s="118"/>
      <c r="N778" s="119"/>
    </row>
    <row r="779" spans="1:14" outlineLevel="2">
      <c r="B779" s="9"/>
      <c r="C779" s="21" t="s">
        <v>192</v>
      </c>
      <c r="D779" s="21" t="s">
        <v>193</v>
      </c>
      <c r="E779" s="9"/>
      <c r="F779" s="9"/>
      <c r="G779" s="116"/>
      <c r="H779" s="117"/>
      <c r="I779" s="118"/>
      <c r="J779" s="119"/>
      <c r="K779" s="116"/>
      <c r="L779" s="117"/>
      <c r="M779" s="118"/>
      <c r="N779" s="119"/>
    </row>
    <row r="780" spans="1:14" outlineLevel="2">
      <c r="B780" s="9"/>
      <c r="C780" s="9"/>
      <c r="D780" s="9"/>
      <c r="E780" s="9"/>
      <c r="F780" s="9"/>
      <c r="G780" s="116"/>
      <c r="H780" s="117"/>
      <c r="I780" s="118"/>
      <c r="J780" s="119"/>
      <c r="K780" s="116"/>
      <c r="L780" s="117"/>
      <c r="M780" s="118"/>
      <c r="N780" s="119"/>
    </row>
    <row r="781" spans="1:14" ht="15" customHeight="1" outlineLevel="2">
      <c r="B781" s="9"/>
      <c r="C781" s="594" t="s">
        <v>194</v>
      </c>
      <c r="D781" s="594"/>
      <c r="E781" s="594"/>
      <c r="F781" s="9"/>
      <c r="G781" s="116"/>
      <c r="H781" s="117"/>
      <c r="I781" s="118"/>
      <c r="J781" s="119"/>
      <c r="K781" s="116"/>
      <c r="L781" s="117"/>
      <c r="M781" s="118"/>
      <c r="N781" s="119"/>
    </row>
    <row r="782" spans="1:14" outlineLevel="2">
      <c r="B782" s="9"/>
      <c r="C782" s="594"/>
      <c r="D782" s="594"/>
      <c r="E782" s="594"/>
      <c r="F782" s="9"/>
      <c r="G782" s="116"/>
      <c r="H782" s="117"/>
      <c r="I782" s="118"/>
      <c r="J782" s="119"/>
      <c r="K782" s="116"/>
      <c r="L782" s="117"/>
      <c r="M782" s="118"/>
      <c r="N782" s="119"/>
    </row>
    <row r="783" spans="1:14" outlineLevel="2">
      <c r="B783" s="9"/>
      <c r="C783" s="594"/>
      <c r="D783" s="594"/>
      <c r="E783" s="594"/>
      <c r="F783" s="9"/>
      <c r="G783" s="116"/>
      <c r="H783" s="117"/>
      <c r="I783" s="118"/>
      <c r="J783" s="119"/>
      <c r="K783" s="116"/>
      <c r="L783" s="117"/>
      <c r="M783" s="118"/>
      <c r="N783" s="119"/>
    </row>
    <row r="784" spans="1:14" outlineLevel="2">
      <c r="B784" s="9"/>
      <c r="C784" s="536" t="s">
        <v>98</v>
      </c>
      <c r="D784" s="537"/>
      <c r="E784" s="537"/>
      <c r="F784" s="538"/>
      <c r="G784" s="116"/>
      <c r="H784" s="117"/>
      <c r="I784" s="118"/>
      <c r="J784" s="119"/>
      <c r="K784" s="116"/>
      <c r="L784" s="117"/>
      <c r="M784" s="118"/>
      <c r="N784" s="119"/>
    </row>
    <row r="785" spans="1:14" outlineLevel="2">
      <c r="B785" s="9"/>
      <c r="C785" s="539"/>
      <c r="D785" s="540"/>
      <c r="E785" s="540"/>
      <c r="F785" s="541"/>
      <c r="G785" s="116"/>
      <c r="H785" s="117"/>
      <c r="I785" s="118"/>
      <c r="J785" s="119"/>
      <c r="K785" s="116"/>
      <c r="L785" s="117"/>
      <c r="M785" s="118"/>
      <c r="N785" s="119"/>
    </row>
    <row r="786" spans="1:14" outlineLevel="2">
      <c r="B786" s="9"/>
      <c r="C786" s="539"/>
      <c r="D786" s="540"/>
      <c r="E786" s="540"/>
      <c r="F786" s="541"/>
      <c r="G786" s="116"/>
      <c r="H786" s="117"/>
      <c r="I786" s="118"/>
      <c r="J786" s="119"/>
      <c r="K786" s="116"/>
      <c r="L786" s="117"/>
      <c r="M786" s="118"/>
      <c r="N786" s="119"/>
    </row>
    <row r="787" spans="1:14" outlineLevel="2">
      <c r="B787" s="9"/>
      <c r="C787" s="542"/>
      <c r="D787" s="543"/>
      <c r="E787" s="543"/>
      <c r="F787" s="544"/>
      <c r="G787" s="116"/>
      <c r="H787" s="117"/>
      <c r="I787" s="118"/>
      <c r="J787" s="119"/>
      <c r="K787" s="116"/>
      <c r="L787" s="117"/>
      <c r="M787" s="118"/>
      <c r="N787" s="119"/>
    </row>
    <row r="788" spans="1:14" outlineLevel="2">
      <c r="B788" s="9"/>
      <c r="C788" s="9"/>
      <c r="D788" s="9"/>
      <c r="E788" s="9"/>
      <c r="F788" s="9"/>
      <c r="G788" s="116"/>
      <c r="H788" s="117"/>
      <c r="I788" s="118"/>
      <c r="J788" s="119"/>
      <c r="K788" s="116"/>
      <c r="L788" s="117"/>
      <c r="M788" s="118"/>
      <c r="N788" s="119"/>
    </row>
    <row r="789" spans="1:14" outlineLevel="2">
      <c r="B789" s="9"/>
      <c r="C789" s="89" t="s">
        <v>195</v>
      </c>
      <c r="D789" s="9"/>
      <c r="E789" s="9"/>
      <c r="F789" s="9"/>
      <c r="G789" s="116"/>
      <c r="H789" s="117"/>
      <c r="I789" s="118"/>
      <c r="J789" s="119"/>
      <c r="K789" s="116"/>
      <c r="L789" s="117"/>
      <c r="M789" s="118"/>
      <c r="N789" s="119"/>
    </row>
    <row r="790" spans="1:14" outlineLevel="2">
      <c r="B790" s="9"/>
      <c r="C790" s="61" t="s">
        <v>196</v>
      </c>
      <c r="D790" s="9"/>
      <c r="E790" s="9"/>
      <c r="F790" s="9"/>
      <c r="G790" s="116"/>
      <c r="H790" s="117"/>
      <c r="I790" s="118"/>
      <c r="J790" s="119"/>
      <c r="K790" s="116"/>
      <c r="L790" s="117"/>
      <c r="M790" s="118"/>
      <c r="N790" s="119"/>
    </row>
    <row r="791" spans="1:14" ht="123.75" customHeight="1" outlineLevel="2">
      <c r="B791" s="9"/>
      <c r="C791" s="765" t="s">
        <v>197</v>
      </c>
      <c r="D791" s="765"/>
      <c r="E791" s="765"/>
      <c r="F791" s="9"/>
      <c r="G791" s="116"/>
      <c r="H791" s="117"/>
      <c r="I791" s="118"/>
      <c r="J791" s="119"/>
      <c r="K791" s="116"/>
      <c r="L791" s="117"/>
      <c r="M791" s="118"/>
      <c r="N791" s="119"/>
    </row>
    <row r="792" spans="1:14" outlineLevel="2">
      <c r="B792" s="9"/>
      <c r="C792" s="9"/>
      <c r="D792" s="9"/>
      <c r="E792" s="9"/>
      <c r="F792" s="9"/>
      <c r="G792" s="116"/>
      <c r="H792" s="117"/>
      <c r="I792" s="118"/>
      <c r="J792" s="119"/>
      <c r="K792" s="116"/>
      <c r="L792" s="117"/>
      <c r="M792" s="118"/>
      <c r="N792" s="119"/>
    </row>
    <row r="793" spans="1:14" outlineLevel="2">
      <c r="B793" s="9"/>
      <c r="C793" s="61" t="s">
        <v>198</v>
      </c>
      <c r="D793" s="9"/>
      <c r="E793" s="9"/>
      <c r="F793" s="9"/>
      <c r="G793" s="116"/>
      <c r="H793" s="117"/>
      <c r="I793" s="118"/>
      <c r="J793" s="119"/>
      <c r="K793" s="116"/>
      <c r="L793" s="117"/>
      <c r="M793" s="118"/>
      <c r="N793" s="119"/>
    </row>
    <row r="794" spans="1:14" ht="128.25" customHeight="1" outlineLevel="2">
      <c r="B794" s="9"/>
      <c r="C794" s="765" t="s">
        <v>199</v>
      </c>
      <c r="D794" s="765"/>
      <c r="E794" s="765"/>
      <c r="F794" s="9"/>
      <c r="G794" s="116"/>
      <c r="H794" s="117"/>
      <c r="I794" s="118"/>
      <c r="J794" s="119"/>
      <c r="K794" s="116"/>
      <c r="L794" s="117"/>
      <c r="M794" s="118"/>
      <c r="N794" s="119"/>
    </row>
    <row r="795" spans="1:14" outlineLevel="1">
      <c r="B795" s="9"/>
      <c r="C795" s="9"/>
      <c r="D795" s="9"/>
      <c r="E795" s="9"/>
      <c r="F795" s="9"/>
      <c r="G795" s="116"/>
      <c r="H795" s="117"/>
      <c r="I795" s="118"/>
      <c r="J795" s="119"/>
      <c r="K795" s="116"/>
      <c r="L795" s="117"/>
      <c r="M795" s="118"/>
      <c r="N795" s="119"/>
    </row>
    <row r="796" spans="1:14" outlineLevel="1">
      <c r="B796" s="76"/>
      <c r="C796" s="76"/>
      <c r="D796" s="76"/>
      <c r="E796" s="76"/>
      <c r="F796" s="76"/>
      <c r="G796" s="116"/>
      <c r="H796" s="117"/>
      <c r="I796" s="118"/>
      <c r="J796" s="119"/>
      <c r="K796" s="116"/>
      <c r="L796" s="117"/>
      <c r="M796" s="118"/>
      <c r="N796" s="119"/>
    </row>
    <row r="797" spans="1:14" outlineLevel="1">
      <c r="A797" s="76"/>
      <c r="B797" s="77" t="s">
        <v>1193</v>
      </c>
      <c r="C797" s="77" t="s">
        <v>15</v>
      </c>
      <c r="D797" s="76"/>
      <c r="E797" s="76"/>
      <c r="F797" s="76"/>
      <c r="G797" s="116"/>
      <c r="H797" s="117"/>
      <c r="I797" s="118"/>
      <c r="J797" s="119"/>
      <c r="K797" s="116"/>
      <c r="L797" s="117"/>
      <c r="M797" s="118"/>
      <c r="N797" s="119"/>
    </row>
    <row r="798" spans="1:14" outlineLevel="1">
      <c r="B798" s="76"/>
      <c r="C798" s="76"/>
      <c r="D798" s="36" t="s">
        <v>108</v>
      </c>
      <c r="E798" s="36" t="s">
        <v>109</v>
      </c>
      <c r="F798" s="36" t="s">
        <v>110</v>
      </c>
      <c r="G798" s="116"/>
      <c r="H798" s="117"/>
      <c r="I798" s="118"/>
      <c r="J798" s="119"/>
      <c r="K798" s="116"/>
      <c r="L798" s="117"/>
      <c r="M798" s="118"/>
      <c r="N798" s="119"/>
    </row>
    <row r="799" spans="1:14" outlineLevel="1">
      <c r="B799" s="76"/>
      <c r="C799" s="254" t="s">
        <v>396</v>
      </c>
      <c r="D799" s="37"/>
      <c r="E799" s="88"/>
      <c r="F799" s="38"/>
      <c r="G799" s="116"/>
      <c r="H799" s="117"/>
      <c r="I799" s="118"/>
      <c r="J799" s="119"/>
      <c r="K799" s="116"/>
      <c r="L799" s="117"/>
      <c r="M799" s="118"/>
      <c r="N799" s="119"/>
    </row>
    <row r="800" spans="1:14" outlineLevel="1">
      <c r="B800" s="581" t="str">
        <f>IF(AND('Datos ensayos LUM.'!BE47=FALSE,'Datos ensayos LUM.'!BF32=FALSE),"SELECCIONA EQUIPO","")</f>
        <v/>
      </c>
      <c r="C800" s="76"/>
      <c r="D800" s="90"/>
      <c r="E800" s="91"/>
      <c r="F800" s="92"/>
      <c r="G800" s="116"/>
      <c r="H800" s="117"/>
      <c r="I800" s="118"/>
      <c r="J800" s="119"/>
      <c r="K800" s="116"/>
      <c r="L800" s="117"/>
      <c r="M800" s="118"/>
      <c r="N800" s="119"/>
    </row>
    <row r="801" spans="2:14" outlineLevel="1">
      <c r="B801" s="581"/>
      <c r="C801" s="76"/>
      <c r="D801" s="90"/>
      <c r="E801" s="91"/>
      <c r="F801" s="92"/>
      <c r="G801" s="116"/>
      <c r="H801" s="117"/>
      <c r="I801" s="118"/>
      <c r="J801" s="119"/>
      <c r="K801" s="116"/>
      <c r="L801" s="117"/>
      <c r="M801" s="118"/>
      <c r="N801" s="119"/>
    </row>
    <row r="802" spans="2:14" outlineLevel="1">
      <c r="B802" s="581"/>
      <c r="C802" s="76"/>
      <c r="D802" s="90"/>
      <c r="E802" s="91"/>
      <c r="F802" s="92"/>
      <c r="G802" s="116"/>
      <c r="H802" s="117"/>
      <c r="I802" s="118"/>
      <c r="J802" s="119"/>
      <c r="K802" s="116"/>
      <c r="L802" s="117"/>
      <c r="M802" s="118"/>
      <c r="N802" s="119"/>
    </row>
    <row r="803" spans="2:14" outlineLevel="2">
      <c r="B803" s="76"/>
      <c r="C803" s="76"/>
      <c r="D803" s="90"/>
      <c r="E803" s="91"/>
      <c r="F803" s="92"/>
      <c r="G803" s="116"/>
      <c r="H803" s="117"/>
      <c r="I803" s="118"/>
      <c r="J803" s="119"/>
      <c r="K803" s="116"/>
      <c r="L803" s="117"/>
      <c r="M803" s="118"/>
      <c r="N803" s="119"/>
    </row>
    <row r="804" spans="2:14" ht="35.25" customHeight="1" outlineLevel="2">
      <c r="B804" s="76"/>
      <c r="C804" s="764" t="s">
        <v>200</v>
      </c>
      <c r="D804" s="764"/>
      <c r="E804" s="764"/>
      <c r="F804" s="764"/>
      <c r="G804" s="116"/>
      <c r="H804" s="117"/>
      <c r="I804" s="118"/>
      <c r="J804" s="119"/>
      <c r="K804" s="116"/>
      <c r="L804" s="117"/>
      <c r="M804" s="118"/>
      <c r="N804" s="119"/>
    </row>
    <row r="805" spans="2:14" outlineLevel="2">
      <c r="B805" s="76"/>
      <c r="C805" s="585" t="s">
        <v>194</v>
      </c>
      <c r="D805" s="585"/>
      <c r="E805" s="585"/>
      <c r="F805" s="76"/>
      <c r="G805" s="116"/>
      <c r="H805" s="117"/>
      <c r="I805" s="118"/>
      <c r="J805" s="119"/>
      <c r="K805" s="116"/>
      <c r="L805" s="117"/>
      <c r="M805" s="118"/>
      <c r="N805" s="119"/>
    </row>
    <row r="806" spans="2:14" outlineLevel="2">
      <c r="B806" s="76"/>
      <c r="C806" s="585"/>
      <c r="D806" s="585"/>
      <c r="E806" s="585"/>
      <c r="F806" s="76"/>
      <c r="G806" s="116"/>
      <c r="H806" s="117"/>
      <c r="I806" s="118"/>
      <c r="J806" s="119"/>
      <c r="K806" s="116"/>
      <c r="L806" s="117"/>
      <c r="M806" s="118"/>
      <c r="N806" s="119"/>
    </row>
    <row r="807" spans="2:14" outlineLevel="2">
      <c r="B807" s="76"/>
      <c r="C807" s="585"/>
      <c r="D807" s="585"/>
      <c r="E807" s="585"/>
      <c r="F807" s="76"/>
      <c r="G807" s="116"/>
      <c r="H807" s="117"/>
      <c r="I807" s="118"/>
      <c r="J807" s="119"/>
      <c r="K807" s="116"/>
      <c r="L807" s="117"/>
      <c r="M807" s="118"/>
      <c r="N807" s="119"/>
    </row>
    <row r="808" spans="2:14" outlineLevel="2">
      <c r="B808" s="76"/>
      <c r="C808" s="536" t="s">
        <v>98</v>
      </c>
      <c r="D808" s="537"/>
      <c r="E808" s="537"/>
      <c r="F808" s="538"/>
      <c r="G808" s="116"/>
      <c r="H808" s="117"/>
      <c r="I808" s="118"/>
      <c r="J808" s="119"/>
      <c r="K808" s="116"/>
      <c r="L808" s="117"/>
      <c r="M808" s="118"/>
      <c r="N808" s="119"/>
    </row>
    <row r="809" spans="2:14" outlineLevel="2">
      <c r="B809" s="76"/>
      <c r="C809" s="539"/>
      <c r="D809" s="540"/>
      <c r="E809" s="540"/>
      <c r="F809" s="541"/>
      <c r="G809" s="116"/>
      <c r="H809" s="117"/>
      <c r="I809" s="118"/>
      <c r="J809" s="119"/>
      <c r="K809" s="116"/>
      <c r="L809" s="117"/>
      <c r="M809" s="118"/>
      <c r="N809" s="119"/>
    </row>
    <row r="810" spans="2:14" outlineLevel="2">
      <c r="B810" s="76"/>
      <c r="C810" s="539"/>
      <c r="D810" s="540"/>
      <c r="E810" s="540"/>
      <c r="F810" s="541"/>
      <c r="G810" s="116"/>
      <c r="H810" s="117"/>
      <c r="I810" s="118"/>
      <c r="J810" s="119"/>
      <c r="K810" s="116"/>
      <c r="L810" s="117"/>
      <c r="M810" s="118"/>
      <c r="N810" s="119"/>
    </row>
    <row r="811" spans="2:14" outlineLevel="2">
      <c r="B811" s="76"/>
      <c r="C811" s="542"/>
      <c r="D811" s="543"/>
      <c r="E811" s="543"/>
      <c r="F811" s="544"/>
      <c r="G811" s="116"/>
      <c r="H811" s="117"/>
      <c r="I811" s="118"/>
      <c r="J811" s="119"/>
      <c r="K811" s="116"/>
      <c r="L811" s="117"/>
      <c r="M811" s="118"/>
      <c r="N811" s="119"/>
    </row>
    <row r="812" spans="2:14" outlineLevel="2">
      <c r="B812" s="76"/>
      <c r="C812" s="76"/>
      <c r="D812" s="76"/>
      <c r="E812" s="76"/>
      <c r="F812" s="76"/>
      <c r="G812" s="116"/>
      <c r="H812" s="117"/>
      <c r="I812" s="118"/>
      <c r="J812" s="119"/>
      <c r="K812" s="116"/>
      <c r="L812" s="117"/>
      <c r="M812" s="118"/>
      <c r="N812" s="119"/>
    </row>
    <row r="813" spans="2:14" outlineLevel="2">
      <c r="B813" s="76"/>
      <c r="C813" s="93" t="s">
        <v>195</v>
      </c>
      <c r="D813" s="76"/>
      <c r="E813" s="76"/>
      <c r="F813" s="76"/>
      <c r="G813" s="116"/>
      <c r="H813" s="117"/>
      <c r="I813" s="118"/>
      <c r="J813" s="119"/>
      <c r="K813" s="116"/>
      <c r="L813" s="117"/>
      <c r="M813" s="118"/>
      <c r="N813" s="119"/>
    </row>
    <row r="814" spans="2:14" outlineLevel="2">
      <c r="B814" s="76"/>
      <c r="C814" s="77" t="s">
        <v>196</v>
      </c>
      <c r="D814" s="76"/>
      <c r="E814" s="76"/>
      <c r="F814" s="76"/>
      <c r="G814" s="116"/>
      <c r="H814" s="117"/>
      <c r="I814" s="118"/>
      <c r="J814" s="119"/>
      <c r="K814" s="116"/>
      <c r="L814" s="117"/>
      <c r="M814" s="118"/>
      <c r="N814" s="119"/>
    </row>
    <row r="815" spans="2:14" outlineLevel="2">
      <c r="B815" s="76"/>
      <c r="C815" s="763" t="s">
        <v>197</v>
      </c>
      <c r="D815" s="763"/>
      <c r="E815" s="763"/>
      <c r="F815" s="76"/>
      <c r="G815" s="116"/>
      <c r="H815" s="117"/>
      <c r="I815" s="118"/>
      <c r="J815" s="119"/>
      <c r="K815" s="116"/>
      <c r="L815" s="117"/>
      <c r="M815" s="118"/>
      <c r="N815" s="119"/>
    </row>
    <row r="816" spans="2:14" outlineLevel="2">
      <c r="B816" s="76"/>
      <c r="C816" s="76"/>
      <c r="D816" s="76"/>
      <c r="E816" s="76"/>
      <c r="F816" s="76"/>
      <c r="G816" s="116"/>
      <c r="H816" s="117"/>
      <c r="I816" s="118"/>
      <c r="J816" s="119"/>
      <c r="K816" s="116"/>
      <c r="L816" s="117"/>
      <c r="M816" s="118"/>
      <c r="N816" s="119"/>
    </row>
    <row r="817" spans="1:14" outlineLevel="2">
      <c r="B817" s="76"/>
      <c r="C817" s="77" t="s">
        <v>198</v>
      </c>
      <c r="D817" s="76"/>
      <c r="E817" s="76"/>
      <c r="F817" s="76"/>
      <c r="G817" s="116"/>
      <c r="H817" s="117"/>
      <c r="I817" s="118"/>
      <c r="J817" s="119"/>
      <c r="K817" s="116"/>
      <c r="L817" s="117"/>
      <c r="M817" s="118"/>
      <c r="N817" s="119"/>
    </row>
    <row r="818" spans="1:14" outlineLevel="2">
      <c r="B818" s="76"/>
      <c r="C818" s="763" t="s">
        <v>199</v>
      </c>
      <c r="D818" s="763"/>
      <c r="E818" s="763"/>
      <c r="F818" s="76"/>
      <c r="G818" s="116"/>
      <c r="H818" s="117"/>
      <c r="I818" s="118"/>
      <c r="J818" s="119"/>
      <c r="K818" s="116"/>
      <c r="L818" s="117"/>
      <c r="M818" s="118"/>
      <c r="N818" s="119"/>
    </row>
    <row r="819" spans="1:14" outlineLevel="2">
      <c r="B819" s="76"/>
      <c r="C819" s="76"/>
      <c r="D819" s="76"/>
      <c r="E819" s="76"/>
      <c r="F819" s="76"/>
      <c r="G819" s="116"/>
      <c r="H819" s="117"/>
      <c r="I819" s="118"/>
      <c r="J819" s="119"/>
      <c r="K819" s="116"/>
      <c r="L819" s="117"/>
      <c r="M819" s="118"/>
      <c r="N819" s="119"/>
    </row>
    <row r="820" spans="1:14" outlineLevel="1">
      <c r="B820" s="76"/>
      <c r="C820" s="76"/>
      <c r="D820" s="76"/>
      <c r="E820" s="76"/>
      <c r="F820" s="76"/>
      <c r="G820" s="116"/>
      <c r="H820" s="117"/>
      <c r="I820" s="118"/>
      <c r="J820" s="119"/>
      <c r="K820" s="116"/>
      <c r="L820" s="117"/>
      <c r="M820" s="118"/>
      <c r="N820" s="119"/>
    </row>
    <row r="821" spans="1:14" outlineLevel="1">
      <c r="B821" s="9"/>
      <c r="C821" s="9"/>
      <c r="D821" s="9"/>
      <c r="E821" s="9"/>
      <c r="F821" s="9"/>
      <c r="G821" s="116"/>
      <c r="H821" s="117"/>
      <c r="I821" s="118"/>
      <c r="J821" s="119"/>
      <c r="K821" s="116"/>
      <c r="L821" s="117"/>
      <c r="M821" s="118"/>
      <c r="N821" s="119"/>
    </row>
    <row r="822" spans="1:14" outlineLevel="1">
      <c r="A822" s="9"/>
      <c r="B822" s="61" t="s">
        <v>172</v>
      </c>
      <c r="C822" s="61" t="s">
        <v>62</v>
      </c>
      <c r="D822" s="9"/>
      <c r="E822" s="9"/>
      <c r="F822" s="9"/>
      <c r="G822" s="116"/>
      <c r="H822" s="117"/>
      <c r="I822" s="118"/>
      <c r="J822" s="119"/>
      <c r="K822" s="116"/>
      <c r="L822" s="117"/>
      <c r="M822" s="118"/>
      <c r="N822" s="119"/>
    </row>
    <row r="823" spans="1:14" outlineLevel="1">
      <c r="B823" s="9"/>
      <c r="C823" s="9"/>
      <c r="D823" s="36" t="s">
        <v>108</v>
      </c>
      <c r="E823" s="36" t="s">
        <v>109</v>
      </c>
      <c r="F823" s="36" t="s">
        <v>110</v>
      </c>
      <c r="G823" s="116"/>
      <c r="H823" s="117"/>
      <c r="I823" s="118"/>
      <c r="J823" s="119"/>
      <c r="K823" s="116"/>
      <c r="L823" s="117"/>
      <c r="M823" s="118"/>
      <c r="N823" s="119"/>
    </row>
    <row r="824" spans="1:14" outlineLevel="1">
      <c r="B824" s="9"/>
      <c r="C824" s="253" t="s">
        <v>396</v>
      </c>
      <c r="D824" s="37"/>
      <c r="E824" s="88"/>
      <c r="F824" s="38"/>
      <c r="G824" s="116"/>
      <c r="H824" s="117"/>
      <c r="I824" s="118"/>
      <c r="J824" s="119"/>
      <c r="K824" s="116"/>
      <c r="L824" s="117"/>
      <c r="M824" s="118"/>
      <c r="N824" s="119"/>
    </row>
    <row r="825" spans="1:14" outlineLevel="1">
      <c r="B825" s="746" t="str">
        <f>IF(AND('Datos ensayos LUM.'!BE55=FALSE,'Datos ensayos LUM.'!BG32=FALSE),"SELECCIONA EQUIPO","")</f>
        <v/>
      </c>
      <c r="C825" s="9"/>
      <c r="D825" s="238"/>
      <c r="E825" s="239"/>
      <c r="F825" s="240"/>
      <c r="G825" s="116"/>
      <c r="H825" s="117"/>
      <c r="I825" s="118"/>
      <c r="J825" s="119"/>
      <c r="K825" s="116"/>
      <c r="L825" s="117"/>
      <c r="M825" s="118"/>
      <c r="N825" s="119"/>
    </row>
    <row r="826" spans="1:14" outlineLevel="1">
      <c r="B826" s="746"/>
      <c r="C826" s="9"/>
      <c r="D826" s="596" t="str">
        <f>IF('Datos ensayos LUM.'!BE34=TRUE,"PORTÁTIL CLASE I, 
OJO A RED especial de Kikusui","")</f>
        <v/>
      </c>
      <c r="E826" s="596"/>
      <c r="F826" s="596"/>
      <c r="G826" s="116"/>
      <c r="H826" s="117"/>
      <c r="I826" s="118"/>
      <c r="J826" s="119"/>
      <c r="K826" s="116"/>
      <c r="L826" s="117"/>
      <c r="M826" s="118"/>
      <c r="N826" s="119"/>
    </row>
    <row r="827" spans="1:14" outlineLevel="1">
      <c r="B827" s="9"/>
      <c r="C827" s="9"/>
      <c r="D827" s="596"/>
      <c r="E827" s="596"/>
      <c r="F827" s="596"/>
      <c r="G827" s="116"/>
      <c r="H827" s="117"/>
      <c r="I827" s="118"/>
      <c r="J827" s="119"/>
      <c r="K827" s="116"/>
      <c r="L827" s="117"/>
      <c r="M827" s="118"/>
      <c r="N827" s="119"/>
    </row>
    <row r="828" spans="1:14" outlineLevel="2">
      <c r="B828" s="9"/>
      <c r="C828" s="9"/>
      <c r="D828" s="9"/>
      <c r="E828" s="9"/>
      <c r="F828" s="9"/>
      <c r="G828" s="116"/>
      <c r="H828" s="117"/>
      <c r="I828" s="118"/>
      <c r="J828" s="119"/>
      <c r="K828" s="116"/>
      <c r="L828" s="117"/>
      <c r="M828" s="118"/>
      <c r="N828" s="119"/>
    </row>
    <row r="829" spans="1:14" ht="15" customHeight="1" outlineLevel="2">
      <c r="B829" s="9"/>
      <c r="C829" s="594" t="s">
        <v>201</v>
      </c>
      <c r="D829" s="594"/>
      <c r="E829" s="594"/>
      <c r="F829" s="9"/>
      <c r="G829" s="116"/>
      <c r="H829" s="117"/>
      <c r="I829" s="118"/>
      <c r="J829" s="119"/>
      <c r="K829" s="116"/>
      <c r="L829" s="117"/>
      <c r="M829" s="118"/>
      <c r="N829" s="119"/>
    </row>
    <row r="830" spans="1:14" outlineLevel="2">
      <c r="B830" s="9"/>
      <c r="C830" s="594"/>
      <c r="D830" s="594"/>
      <c r="E830" s="594"/>
      <c r="F830" s="9"/>
      <c r="G830" s="116"/>
      <c r="H830" s="117"/>
      <c r="I830" s="118"/>
      <c r="J830" s="119"/>
      <c r="K830" s="116"/>
      <c r="L830" s="117"/>
      <c r="M830" s="118"/>
      <c r="N830" s="119"/>
    </row>
    <row r="831" spans="1:14" outlineLevel="2">
      <c r="B831" s="9"/>
      <c r="C831" s="594"/>
      <c r="D831" s="594"/>
      <c r="E831" s="594"/>
      <c r="F831" s="9"/>
      <c r="G831" s="116"/>
      <c r="H831" s="117"/>
      <c r="I831" s="118"/>
      <c r="J831" s="119"/>
      <c r="K831" s="116"/>
      <c r="L831" s="117"/>
      <c r="M831" s="118"/>
      <c r="N831" s="119"/>
    </row>
    <row r="832" spans="1:14" outlineLevel="2">
      <c r="B832" s="9"/>
      <c r="C832" s="594"/>
      <c r="D832" s="594"/>
      <c r="E832" s="594"/>
      <c r="F832" s="9"/>
      <c r="G832" s="116"/>
      <c r="H832" s="117"/>
      <c r="I832" s="118"/>
      <c r="J832" s="119"/>
      <c r="K832" s="116"/>
      <c r="L832" s="117"/>
      <c r="M832" s="118"/>
      <c r="N832" s="119"/>
    </row>
    <row r="833" spans="1:14" outlineLevel="2">
      <c r="B833" s="9"/>
      <c r="C833" s="9"/>
      <c r="D833" s="9"/>
      <c r="E833" s="9"/>
      <c r="F833" s="9"/>
      <c r="G833" s="116"/>
      <c r="H833" s="117"/>
      <c r="I833" s="118"/>
      <c r="J833" s="119"/>
      <c r="K833" s="116"/>
      <c r="L833" s="117"/>
      <c r="M833" s="118"/>
      <c r="N833" s="119"/>
    </row>
    <row r="834" spans="1:14" outlineLevel="2">
      <c r="B834" s="9"/>
      <c r="C834" s="536" t="s">
        <v>98</v>
      </c>
      <c r="D834" s="537"/>
      <c r="E834" s="537"/>
      <c r="F834" s="538"/>
      <c r="G834" s="116"/>
      <c r="H834" s="117"/>
      <c r="I834" s="118"/>
      <c r="J834" s="119"/>
      <c r="K834" s="116"/>
      <c r="L834" s="117"/>
      <c r="M834" s="118"/>
      <c r="N834" s="119"/>
    </row>
    <row r="835" spans="1:14" outlineLevel="2">
      <c r="B835" s="9"/>
      <c r="C835" s="539"/>
      <c r="D835" s="540"/>
      <c r="E835" s="540"/>
      <c r="F835" s="541"/>
      <c r="G835" s="116"/>
      <c r="H835" s="117"/>
      <c r="I835" s="118"/>
      <c r="J835" s="119"/>
      <c r="K835" s="116"/>
      <c r="L835" s="117"/>
      <c r="M835" s="118"/>
      <c r="N835" s="119"/>
    </row>
    <row r="836" spans="1:14" outlineLevel="2">
      <c r="B836" s="9"/>
      <c r="C836" s="539"/>
      <c r="D836" s="540"/>
      <c r="E836" s="540"/>
      <c r="F836" s="541"/>
      <c r="G836" s="116"/>
      <c r="H836" s="117"/>
      <c r="I836" s="118"/>
      <c r="J836" s="119"/>
      <c r="K836" s="116"/>
      <c r="L836" s="117"/>
      <c r="M836" s="118"/>
      <c r="N836" s="119"/>
    </row>
    <row r="837" spans="1:14" outlineLevel="2">
      <c r="B837" s="9"/>
      <c r="C837" s="542"/>
      <c r="D837" s="543"/>
      <c r="E837" s="543"/>
      <c r="F837" s="544"/>
      <c r="G837" s="116"/>
      <c r="H837" s="117"/>
      <c r="I837" s="118"/>
      <c r="J837" s="119"/>
      <c r="K837" s="116"/>
      <c r="L837" s="117"/>
      <c r="M837" s="118"/>
      <c r="N837" s="119"/>
    </row>
    <row r="838" spans="1:14" outlineLevel="2">
      <c r="B838" s="9"/>
      <c r="C838" s="9"/>
      <c r="D838" s="9"/>
      <c r="E838" s="9"/>
      <c r="F838" s="9"/>
      <c r="G838" s="116"/>
      <c r="H838" s="117"/>
      <c r="I838" s="118"/>
      <c r="J838" s="119"/>
      <c r="K838" s="116"/>
      <c r="L838" s="117"/>
      <c r="M838" s="118"/>
      <c r="N838" s="119"/>
    </row>
    <row r="839" spans="1:14" outlineLevel="1">
      <c r="B839" s="9"/>
      <c r="C839" s="9"/>
      <c r="D839" s="9"/>
      <c r="E839" s="9"/>
      <c r="F839" s="9"/>
      <c r="G839" s="116"/>
      <c r="H839" s="117"/>
      <c r="I839" s="118"/>
      <c r="J839" s="119"/>
      <c r="K839" s="116"/>
      <c r="L839" s="117"/>
      <c r="M839" s="118"/>
      <c r="N839" s="119"/>
    </row>
    <row r="840" spans="1:14">
      <c r="B840" s="9"/>
      <c r="C840" s="9"/>
      <c r="D840" s="9"/>
      <c r="E840" s="9"/>
      <c r="F840" s="9"/>
      <c r="G840" s="116"/>
      <c r="H840" s="117"/>
      <c r="I840" s="118"/>
      <c r="J840" s="119"/>
      <c r="K840" s="116"/>
      <c r="L840" s="117"/>
      <c r="M840" s="118"/>
      <c r="N840" s="119"/>
    </row>
    <row r="841" spans="1:14">
      <c r="G841" s="116"/>
      <c r="H841" s="117"/>
      <c r="I841" s="118"/>
      <c r="J841" s="119"/>
      <c r="K841" s="116"/>
      <c r="L841" s="117"/>
      <c r="M841" s="118"/>
      <c r="N841" s="119"/>
    </row>
    <row r="842" spans="1:14" ht="21">
      <c r="A842" s="264"/>
      <c r="B842" s="265" t="s">
        <v>1194</v>
      </c>
      <c r="C842" s="264"/>
      <c r="D842" s="264"/>
      <c r="E842" s="264"/>
      <c r="F842" s="264"/>
      <c r="G842" s="116"/>
      <c r="H842" s="117"/>
      <c r="I842" s="118"/>
      <c r="J842" s="119"/>
      <c r="K842" s="116"/>
      <c r="L842" s="117"/>
      <c r="M842" s="118"/>
      <c r="N842" s="119"/>
    </row>
    <row r="843" spans="1:14" outlineLevel="1">
      <c r="A843" s="11"/>
      <c r="B843" s="264"/>
      <c r="C843" s="264"/>
      <c r="D843" s="264"/>
      <c r="E843" s="264"/>
      <c r="F843" s="264"/>
      <c r="G843" s="116"/>
      <c r="H843" s="117"/>
      <c r="I843" s="118"/>
      <c r="J843" s="119"/>
      <c r="K843" s="116"/>
      <c r="L843" s="117"/>
      <c r="M843" s="118"/>
      <c r="N843" s="119"/>
    </row>
    <row r="844" spans="1:14" outlineLevel="1">
      <c r="A844" s="264"/>
      <c r="B844" s="263" t="s">
        <v>1195</v>
      </c>
      <c r="C844" s="263" t="s">
        <v>529</v>
      </c>
      <c r="D844" s="264"/>
      <c r="E844" s="264"/>
      <c r="F844" s="264"/>
      <c r="G844" s="116"/>
      <c r="H844" s="117"/>
      <c r="I844" s="118"/>
      <c r="J844" s="119"/>
      <c r="K844" s="116"/>
      <c r="L844" s="117"/>
      <c r="M844" s="118"/>
      <c r="N844" s="119"/>
    </row>
    <row r="845" spans="1:14" outlineLevel="1">
      <c r="B845" s="264"/>
      <c r="C845" s="264"/>
      <c r="D845" s="36" t="s">
        <v>108</v>
      </c>
      <c r="E845" s="36" t="s">
        <v>109</v>
      </c>
      <c r="F845" s="36" t="s">
        <v>110</v>
      </c>
      <c r="G845" s="116"/>
      <c r="H845" s="117"/>
      <c r="I845" s="118"/>
      <c r="J845" s="119"/>
      <c r="K845" s="116"/>
      <c r="L845" s="117"/>
      <c r="M845" s="118"/>
      <c r="N845" s="119"/>
    </row>
    <row r="846" spans="1:14" outlineLevel="1">
      <c r="B846" s="264"/>
      <c r="C846" s="264"/>
      <c r="D846" s="37"/>
      <c r="E846" s="88"/>
      <c r="F846" s="38"/>
      <c r="G846" s="116"/>
      <c r="H846" s="117"/>
      <c r="I846" s="118"/>
      <c r="J846" s="119"/>
      <c r="K846" s="116"/>
      <c r="L846" s="117"/>
      <c r="M846" s="118"/>
      <c r="N846" s="119"/>
    </row>
    <row r="847" spans="1:14" outlineLevel="1">
      <c r="B847" s="264"/>
      <c r="C847" s="264"/>
      <c r="D847" s="483"/>
      <c r="E847" s="484"/>
      <c r="F847" s="485"/>
      <c r="G847" s="116"/>
      <c r="H847" s="117"/>
      <c r="I847" s="118"/>
      <c r="J847" s="119"/>
      <c r="K847" s="116"/>
      <c r="L847" s="117"/>
      <c r="M847" s="118"/>
      <c r="N847" s="119"/>
    </row>
    <row r="848" spans="1:14" outlineLevel="1">
      <c r="A848" s="168"/>
      <c r="B848" s="264"/>
      <c r="C848" s="263" t="s">
        <v>877</v>
      </c>
      <c r="D848" s="492" t="str">
        <f>IF('Datos ensayos LUM.'!BU83=FALSE,"SELECCIONAR EL ORIGEN DE LA MUESTRA","")</f>
        <v>SELECCIONAR EL ORIGEN DE LA MUESTRA</v>
      </c>
      <c r="E848" s="484"/>
      <c r="F848" s="485"/>
      <c r="G848" s="116"/>
      <c r="H848" s="117"/>
      <c r="I848" s="118"/>
      <c r="J848" s="119"/>
      <c r="K848" s="116"/>
      <c r="L848" s="117"/>
      <c r="M848" s="118"/>
      <c r="N848" s="119"/>
    </row>
    <row r="849" spans="1:14" outlineLevel="1">
      <c r="A849" s="168"/>
      <c r="B849" s="486" t="b">
        <v>0</v>
      </c>
      <c r="C849" s="264" t="s">
        <v>878</v>
      </c>
      <c r="D849" s="483"/>
      <c r="E849" s="484"/>
      <c r="F849" s="485"/>
      <c r="G849" s="116"/>
      <c r="H849" s="117"/>
      <c r="I849" s="118"/>
      <c r="J849" s="119"/>
      <c r="K849" s="116"/>
      <c r="L849" s="117"/>
      <c r="M849" s="118"/>
      <c r="N849" s="119"/>
    </row>
    <row r="850" spans="1:14" outlineLevel="1">
      <c r="A850" s="168"/>
      <c r="B850" s="486" t="b">
        <v>0</v>
      </c>
      <c r="C850" s="264" t="s">
        <v>879</v>
      </c>
      <c r="D850" s="483"/>
      <c r="E850" s="484"/>
      <c r="F850" s="485"/>
      <c r="G850" s="116"/>
      <c r="H850" s="117"/>
      <c r="I850" s="118"/>
      <c r="J850" s="119"/>
      <c r="K850" s="116"/>
      <c r="L850" s="117"/>
      <c r="M850" s="118"/>
      <c r="N850" s="119"/>
    </row>
    <row r="851" spans="1:14" outlineLevel="1">
      <c r="A851" s="168"/>
      <c r="B851" s="486" t="b">
        <v>0</v>
      </c>
      <c r="C851" s="264" t="s">
        <v>880</v>
      </c>
      <c r="D851" s="483"/>
      <c r="E851" s="484"/>
      <c r="F851" s="485"/>
      <c r="G851" s="116"/>
      <c r="H851" s="117"/>
      <c r="I851" s="118"/>
      <c r="J851" s="119"/>
      <c r="K851" s="116"/>
      <c r="L851" s="117"/>
      <c r="M851" s="118"/>
      <c r="N851" s="119"/>
    </row>
    <row r="852" spans="1:14" ht="15.6" customHeight="1" outlineLevel="1">
      <c r="A852" s="168"/>
      <c r="B852" s="264"/>
      <c r="C852" s="264"/>
      <c r="D852" s="483"/>
      <c r="E852" s="484"/>
      <c r="F852" s="485"/>
      <c r="G852" s="116"/>
      <c r="H852" s="117"/>
      <c r="I852" s="118"/>
      <c r="J852" s="119"/>
      <c r="K852" s="116"/>
      <c r="L852" s="117"/>
      <c r="M852" s="118"/>
      <c r="N852" s="119"/>
    </row>
    <row r="853" spans="1:14" outlineLevel="1">
      <c r="A853" s="168"/>
      <c r="B853" s="264"/>
      <c r="C853" s="263" t="s">
        <v>881</v>
      </c>
      <c r="D853" s="492" t="str">
        <f>IF('Datos ensayos LUM.'!BU121=FALSE,"VERIFICAR SI LA MUESTRA HA ESTADO EN CONDICIONES CORRECTAS ANTES DEL ENSAYO","")</f>
        <v>VERIFICAR SI LA MUESTRA HA ESTADO EN CONDICIONES CORRECTAS ANTES DEL ENSAYO</v>
      </c>
      <c r="E853" s="484"/>
      <c r="F853" s="485"/>
      <c r="G853" s="116"/>
      <c r="H853" s="117"/>
      <c r="I853" s="118"/>
      <c r="J853" s="119"/>
      <c r="K853" s="116"/>
      <c r="L853" s="117"/>
      <c r="M853" s="118"/>
      <c r="N853" s="119"/>
    </row>
    <row r="854" spans="1:14" ht="15" customHeight="1" outlineLevel="1">
      <c r="A854" s="168"/>
      <c r="B854" s="497" t="b">
        <v>1</v>
      </c>
      <c r="C854" s="748" t="s">
        <v>944</v>
      </c>
      <c r="D854" s="748"/>
      <c r="E854" s="749" t="s">
        <v>949</v>
      </c>
      <c r="F854" s="489" t="s">
        <v>948</v>
      </c>
      <c r="G854" s="499"/>
      <c r="H854" s="387"/>
      <c r="I854" s="387"/>
      <c r="J854" s="387"/>
      <c r="K854" s="387"/>
      <c r="L854" s="387"/>
      <c r="M854" s="387"/>
      <c r="N854" s="387"/>
    </row>
    <row r="855" spans="1:14" ht="15" customHeight="1" outlineLevel="1">
      <c r="A855" s="168"/>
      <c r="B855" s="498"/>
      <c r="C855" s="748" t="s">
        <v>946</v>
      </c>
      <c r="D855" s="748"/>
      <c r="E855" s="750"/>
      <c r="F855" s="489" t="s">
        <v>951</v>
      </c>
      <c r="G855" s="491"/>
      <c r="H855" s="387"/>
      <c r="I855" s="387"/>
      <c r="J855" s="387"/>
      <c r="K855" s="387"/>
      <c r="L855" s="387"/>
      <c r="M855" s="387"/>
      <c r="N855" s="387"/>
    </row>
    <row r="856" spans="1:14" outlineLevel="1">
      <c r="A856" s="168"/>
      <c r="B856" s="264"/>
      <c r="C856" s="264" t="s">
        <v>945</v>
      </c>
      <c r="D856" s="483"/>
      <c r="E856" s="750"/>
      <c r="F856" s="489" t="s">
        <v>947</v>
      </c>
      <c r="G856" s="499"/>
      <c r="H856" s="387"/>
      <c r="I856" s="387"/>
      <c r="J856" s="387"/>
      <c r="K856" s="387"/>
      <c r="L856" s="387"/>
      <c r="M856" s="387"/>
      <c r="N856" s="387"/>
    </row>
    <row r="857" spans="1:14" outlineLevel="1">
      <c r="A857" s="168"/>
      <c r="B857" s="264"/>
      <c r="C857" s="264"/>
      <c r="D857" s="483"/>
      <c r="E857" s="750"/>
      <c r="F857" s="489" t="s">
        <v>950</v>
      </c>
      <c r="G857" s="491"/>
      <c r="H857" s="387"/>
      <c r="I857" s="387"/>
      <c r="J857" s="387"/>
      <c r="K857" s="387"/>
      <c r="L857" s="387"/>
      <c r="M857" s="387"/>
      <c r="N857" s="387"/>
    </row>
    <row r="858" spans="1:14" outlineLevel="1">
      <c r="A858" s="168"/>
      <c r="B858" s="264"/>
      <c r="C858" s="264"/>
      <c r="D858" s="483"/>
      <c r="E858" s="484"/>
      <c r="F858" s="485"/>
      <c r="G858" s="116"/>
      <c r="H858" s="117"/>
      <c r="I858" s="118"/>
      <c r="J858" s="119"/>
      <c r="K858" s="116"/>
      <c r="L858" s="117"/>
      <c r="M858" s="118"/>
      <c r="N858" s="119"/>
    </row>
    <row r="859" spans="1:14" outlineLevel="1">
      <c r="A859" s="168"/>
      <c r="B859" s="264"/>
      <c r="C859" s="264"/>
      <c r="D859" s="483"/>
      <c r="E859" s="484"/>
      <c r="F859" s="485"/>
      <c r="G859" s="116"/>
      <c r="H859" s="117"/>
      <c r="I859" s="118"/>
      <c r="J859" s="119"/>
      <c r="K859" s="116"/>
      <c r="L859" s="117"/>
      <c r="M859" s="118"/>
      <c r="N859" s="119"/>
    </row>
    <row r="860" spans="1:14" outlineLevel="1">
      <c r="A860" s="168"/>
      <c r="B860" s="264"/>
      <c r="C860" s="263" t="s">
        <v>883</v>
      </c>
      <c r="D860" s="483"/>
      <c r="E860" s="484"/>
      <c r="F860" s="485"/>
      <c r="G860" s="116"/>
      <c r="H860" s="117"/>
      <c r="I860" s="118"/>
      <c r="J860" s="119"/>
      <c r="K860" s="116"/>
      <c r="L860" s="117"/>
      <c r="M860" s="118"/>
      <c r="N860" s="119"/>
    </row>
    <row r="861" spans="1:14" ht="16.2" outlineLevel="1">
      <c r="A861" s="168"/>
      <c r="B861" s="486" t="b">
        <v>0</v>
      </c>
      <c r="C861" s="264" t="s">
        <v>892</v>
      </c>
      <c r="D861" s="483"/>
      <c r="E861" s="484"/>
      <c r="F861" s="485"/>
      <c r="G861" s="116"/>
      <c r="H861" s="117"/>
      <c r="I861" s="118"/>
      <c r="J861" s="119"/>
      <c r="K861" s="116"/>
      <c r="L861" s="117"/>
      <c r="M861" s="118"/>
      <c r="N861" s="119"/>
    </row>
    <row r="862" spans="1:14" outlineLevel="1">
      <c r="A862" s="168"/>
      <c r="B862" s="487"/>
      <c r="C862" s="264" t="s">
        <v>888</v>
      </c>
      <c r="D862" s="483"/>
      <c r="E862" s="484"/>
      <c r="F862" s="360" t="s">
        <v>886</v>
      </c>
      <c r="G862" s="387"/>
      <c r="H862" s="387"/>
      <c r="I862" s="387"/>
      <c r="J862" s="387"/>
      <c r="K862" s="387"/>
      <c r="L862" s="387"/>
      <c r="M862" s="387"/>
      <c r="N862" s="387"/>
    </row>
    <row r="863" spans="1:14" outlineLevel="1">
      <c r="A863" s="168"/>
      <c r="B863" s="487"/>
      <c r="C863" s="264"/>
      <c r="D863" s="483"/>
      <c r="E863" s="484"/>
      <c r="F863" s="62"/>
      <c r="G863" s="116"/>
      <c r="H863" s="117"/>
      <c r="I863" s="118"/>
      <c r="J863" s="119"/>
      <c r="K863" s="116"/>
      <c r="L863" s="117"/>
      <c r="M863" s="118"/>
      <c r="N863" s="119"/>
    </row>
    <row r="864" spans="1:14" ht="14.85" customHeight="1" outlineLevel="1">
      <c r="A864" s="168"/>
      <c r="B864" s="264"/>
      <c r="C864" s="609" t="str">
        <f>IF('Datos ensayos LUM.'!BU94=FALSE,"ESPESOR O DIMENSIONES INFERIORES A LAS NECESARIAS","")</f>
        <v>ESPESOR O DIMENSIONES INFERIORES A LAS NECESARIAS</v>
      </c>
      <c r="D864" s="751" t="s">
        <v>887</v>
      </c>
      <c r="E864" s="751"/>
      <c r="F864" s="488" t="s">
        <v>891</v>
      </c>
      <c r="G864" s="387"/>
      <c r="H864" s="387"/>
      <c r="I864" s="387"/>
      <c r="J864" s="387"/>
      <c r="K864" s="387"/>
      <c r="L864" s="387"/>
      <c r="M864" s="387"/>
      <c r="N864" s="387"/>
    </row>
    <row r="865" spans="1:14" outlineLevel="1">
      <c r="A865" s="168"/>
      <c r="B865" s="264"/>
      <c r="C865" s="609"/>
      <c r="D865" s="751"/>
      <c r="E865" s="751"/>
      <c r="F865" s="488" t="s">
        <v>884</v>
      </c>
      <c r="G865" s="387"/>
      <c r="H865" s="387"/>
      <c r="I865" s="387"/>
      <c r="J865" s="387"/>
      <c r="K865" s="387"/>
      <c r="L865" s="387"/>
      <c r="M865" s="387"/>
      <c r="N865" s="387"/>
    </row>
    <row r="866" spans="1:14" outlineLevel="1">
      <c r="A866" s="168"/>
      <c r="B866" s="264"/>
      <c r="C866" s="609"/>
      <c r="D866" s="751"/>
      <c r="E866" s="751"/>
      <c r="F866" s="488" t="s">
        <v>885</v>
      </c>
      <c r="G866" s="387"/>
      <c r="H866" s="387"/>
      <c r="I866" s="387"/>
      <c r="J866" s="387"/>
      <c r="K866" s="387"/>
      <c r="L866" s="387"/>
      <c r="M866" s="387"/>
      <c r="N866" s="387"/>
    </row>
    <row r="867" spans="1:14" outlineLevel="1">
      <c r="A867" s="168"/>
      <c r="B867" s="264"/>
      <c r="C867" s="264"/>
      <c r="D867" s="483"/>
      <c r="E867" s="484"/>
      <c r="F867" s="485"/>
      <c r="G867" s="116"/>
      <c r="H867" s="117"/>
      <c r="I867" s="118"/>
      <c r="J867" s="119"/>
      <c r="K867" s="116"/>
      <c r="L867" s="117"/>
      <c r="M867" s="118"/>
      <c r="N867" s="119"/>
    </row>
    <row r="868" spans="1:14" ht="16.2" outlineLevel="1">
      <c r="A868" s="168"/>
      <c r="B868" s="264"/>
      <c r="C868" s="616" t="str">
        <f>IF('Datos ensayos LUM.'!BU107=FALSE,"ESPECIFICAR TIEMPOS DE ACONDICIONAMIENTO Y/O ENSAYO","")</f>
        <v>ESPECIFICAR TIEMPOS DE ACONDICIONAMIENTO Y/O ENSAYO</v>
      </c>
      <c r="D868" s="598" t="s">
        <v>897</v>
      </c>
      <c r="E868" s="360" t="s">
        <v>893</v>
      </c>
      <c r="F868" s="360"/>
      <c r="G868" s="490"/>
      <c r="H868" s="490"/>
      <c r="I868" s="490"/>
      <c r="J868" s="490"/>
      <c r="K868" s="490"/>
      <c r="L868" s="490"/>
      <c r="M868" s="490"/>
      <c r="N868" s="490"/>
    </row>
    <row r="869" spans="1:14" outlineLevel="1">
      <c r="A869" s="168"/>
      <c r="B869" s="264"/>
      <c r="C869" s="616"/>
      <c r="D869" s="598"/>
      <c r="E869" s="489" t="s">
        <v>889</v>
      </c>
      <c r="F869" s="360"/>
      <c r="G869" s="491"/>
      <c r="H869" s="491"/>
      <c r="I869" s="491"/>
      <c r="J869" s="491"/>
      <c r="K869" s="491"/>
      <c r="L869" s="491"/>
      <c r="M869" s="491"/>
      <c r="N869" s="491"/>
    </row>
    <row r="870" spans="1:14" outlineLevel="1">
      <c r="A870" s="168"/>
      <c r="B870" s="264"/>
      <c r="C870" s="616"/>
      <c r="D870" s="598"/>
      <c r="E870" s="489" t="s">
        <v>890</v>
      </c>
      <c r="F870" s="360"/>
      <c r="G870" s="491"/>
      <c r="H870" s="491"/>
      <c r="I870" s="491"/>
      <c r="J870" s="491"/>
      <c r="K870" s="491"/>
      <c r="L870" s="491"/>
      <c r="M870" s="491"/>
      <c r="N870" s="491"/>
    </row>
    <row r="871" spans="1:14" outlineLevel="1">
      <c r="A871" s="168"/>
      <c r="B871" s="264"/>
      <c r="C871" s="616"/>
      <c r="D871" s="598"/>
      <c r="E871" s="489" t="s">
        <v>896</v>
      </c>
      <c r="F871" s="360"/>
      <c r="G871" s="491"/>
      <c r="H871" s="491"/>
      <c r="I871" s="491"/>
      <c r="J871" s="491"/>
      <c r="K871" s="491"/>
      <c r="L871" s="491"/>
      <c r="M871" s="491"/>
      <c r="N871" s="491"/>
    </row>
    <row r="872" spans="1:14" outlineLevel="1">
      <c r="A872" s="168"/>
      <c r="B872" s="264"/>
      <c r="C872" s="616"/>
      <c r="D872" s="598"/>
      <c r="E872" s="489" t="s">
        <v>898</v>
      </c>
      <c r="F872" s="360"/>
      <c r="G872" s="491"/>
      <c r="H872" s="491"/>
      <c r="I872" s="491"/>
      <c r="J872" s="491"/>
      <c r="K872" s="491"/>
      <c r="L872" s="491"/>
      <c r="M872" s="491"/>
      <c r="N872" s="491"/>
    </row>
    <row r="873" spans="1:14" outlineLevel="1">
      <c r="A873" s="168"/>
      <c r="B873" s="264"/>
      <c r="C873" s="264"/>
      <c r="D873" s="483"/>
      <c r="E873" s="484"/>
      <c r="F873" s="485"/>
      <c r="G873" s="116"/>
      <c r="H873" s="117"/>
      <c r="I873" s="118"/>
      <c r="J873" s="119"/>
      <c r="K873" s="116"/>
      <c r="L873" s="117"/>
      <c r="M873" s="118"/>
      <c r="N873" s="119"/>
    </row>
    <row r="874" spans="1:14" outlineLevel="1">
      <c r="A874" s="168"/>
      <c r="B874" s="264"/>
      <c r="C874" s="263" t="s">
        <v>882</v>
      </c>
      <c r="D874" s="483"/>
      <c r="E874" s="484"/>
      <c r="F874" s="485"/>
      <c r="G874" s="116"/>
      <c r="H874" s="117"/>
      <c r="I874" s="118"/>
      <c r="J874" s="119"/>
      <c r="K874" s="116"/>
      <c r="L874" s="117"/>
      <c r="M874" s="118"/>
      <c r="N874" s="119"/>
    </row>
    <row r="875" spans="1:14" outlineLevel="1">
      <c r="A875" s="168"/>
      <c r="B875" s="486" t="b">
        <v>0</v>
      </c>
      <c r="C875" s="264" t="s">
        <v>899</v>
      </c>
      <c r="D875" s="483"/>
      <c r="E875" s="484"/>
      <c r="F875" s="485"/>
      <c r="G875" s="116"/>
      <c r="H875" s="117"/>
      <c r="I875" s="118"/>
      <c r="J875" s="119"/>
      <c r="K875" s="116"/>
      <c r="L875" s="117"/>
      <c r="M875" s="118"/>
      <c r="N875" s="119"/>
    </row>
    <row r="876" spans="1:14" outlineLevel="1">
      <c r="A876" s="168"/>
      <c r="B876" s="486" t="b">
        <v>0</v>
      </c>
      <c r="C876" s="264" t="s">
        <v>894</v>
      </c>
      <c r="D876" s="483"/>
      <c r="E876" s="484"/>
      <c r="F876" s="485"/>
      <c r="G876" s="116"/>
      <c r="H876" s="117"/>
      <c r="I876" s="118"/>
      <c r="J876" s="119"/>
      <c r="K876" s="116"/>
      <c r="L876" s="117"/>
      <c r="M876" s="118"/>
      <c r="N876" s="119"/>
    </row>
    <row r="877" spans="1:14" outlineLevel="1">
      <c r="A877" s="168"/>
      <c r="B877" s="264"/>
      <c r="C877" s="264" t="s">
        <v>895</v>
      </c>
      <c r="D877" s="483"/>
      <c r="E877" s="484"/>
      <c r="F877" s="485"/>
      <c r="G877" s="116"/>
      <c r="H877" s="117"/>
      <c r="I877" s="118"/>
      <c r="J877" s="119"/>
      <c r="K877" s="116"/>
      <c r="L877" s="117"/>
      <c r="M877" s="118"/>
      <c r="N877" s="119"/>
    </row>
    <row r="878" spans="1:14" outlineLevel="1">
      <c r="A878" s="168"/>
      <c r="B878" s="264"/>
      <c r="C878" s="264"/>
      <c r="D878" s="483"/>
      <c r="E878" s="484"/>
      <c r="F878" s="485"/>
      <c r="G878" s="116"/>
      <c r="H878" s="117"/>
      <c r="I878" s="118"/>
      <c r="J878" s="119"/>
      <c r="K878" s="116"/>
      <c r="L878" s="117"/>
      <c r="M878" s="118"/>
      <c r="N878" s="119"/>
    </row>
    <row r="879" spans="1:14" outlineLevel="1">
      <c r="A879" s="168"/>
      <c r="B879" s="264"/>
      <c r="C879" s="263" t="s">
        <v>903</v>
      </c>
      <c r="D879" s="483"/>
      <c r="E879" s="484"/>
      <c r="F879" s="485"/>
      <c r="G879" s="116"/>
      <c r="H879" s="117"/>
      <c r="I879" s="118"/>
      <c r="J879" s="119"/>
      <c r="K879" s="116"/>
      <c r="L879" s="117"/>
      <c r="M879" s="118"/>
      <c r="N879" s="119"/>
    </row>
    <row r="880" spans="1:14" outlineLevel="1">
      <c r="A880" s="168"/>
      <c r="B880" s="486" t="b">
        <v>0</v>
      </c>
      <c r="C880" s="264" t="s">
        <v>904</v>
      </c>
      <c r="D880" s="483"/>
      <c r="E880" s="484"/>
      <c r="F880" s="485"/>
      <c r="G880" s="116"/>
      <c r="H880" s="117"/>
      <c r="I880" s="118"/>
      <c r="J880" s="119"/>
      <c r="K880" s="116"/>
      <c r="L880" s="117"/>
      <c r="M880" s="118"/>
      <c r="N880" s="119"/>
    </row>
    <row r="881" spans="1:14" outlineLevel="1">
      <c r="A881" s="168"/>
      <c r="B881" s="264"/>
      <c r="C881" s="264" t="s">
        <v>905</v>
      </c>
      <c r="D881" s="483"/>
      <c r="E881" s="484"/>
      <c r="F881" s="485"/>
      <c r="G881" s="116"/>
      <c r="H881" s="117"/>
      <c r="I881" s="118"/>
      <c r="J881" s="119"/>
      <c r="K881" s="116"/>
      <c r="L881" s="117"/>
      <c r="M881" s="118"/>
      <c r="N881" s="119"/>
    </row>
    <row r="882" spans="1:14" outlineLevel="1">
      <c r="A882" s="168"/>
      <c r="B882" s="264"/>
      <c r="C882" s="264" t="s">
        <v>907</v>
      </c>
      <c r="D882" s="483"/>
      <c r="E882" s="484"/>
      <c r="F882" s="485"/>
      <c r="G882" s="116"/>
      <c r="H882" s="117"/>
      <c r="I882" s="118"/>
      <c r="J882" s="119"/>
      <c r="K882" s="116"/>
      <c r="L882" s="117"/>
      <c r="M882" s="118"/>
      <c r="N882" s="119"/>
    </row>
    <row r="883" spans="1:14" outlineLevel="1">
      <c r="A883" s="168"/>
      <c r="B883" s="264"/>
      <c r="C883" s="264" t="s">
        <v>902</v>
      </c>
      <c r="D883" s="483"/>
      <c r="E883" s="484"/>
      <c r="F883" s="485"/>
      <c r="G883" s="116"/>
      <c r="H883" s="117"/>
      <c r="I883" s="118"/>
      <c r="J883" s="119"/>
      <c r="K883" s="116"/>
      <c r="L883" s="117"/>
      <c r="M883" s="118"/>
      <c r="N883" s="119"/>
    </row>
    <row r="884" spans="1:14" outlineLevel="1">
      <c r="A884" s="168"/>
      <c r="B884" s="486" t="b">
        <v>0</v>
      </c>
      <c r="C884" s="264" t="s">
        <v>906</v>
      </c>
      <c r="D884" s="483"/>
      <c r="E884" s="484"/>
      <c r="F884" s="485"/>
      <c r="G884" s="116"/>
      <c r="H884" s="117"/>
      <c r="I884" s="118"/>
      <c r="J884" s="119"/>
      <c r="K884" s="116"/>
      <c r="L884" s="117"/>
      <c r="M884" s="118"/>
      <c r="N884" s="119"/>
    </row>
    <row r="885" spans="1:14" outlineLevel="1">
      <c r="A885" s="168"/>
      <c r="B885" s="264"/>
      <c r="C885" s="264"/>
      <c r="D885" s="483"/>
      <c r="E885" s="484"/>
      <c r="F885" s="485"/>
      <c r="G885" s="116"/>
      <c r="H885" s="117"/>
      <c r="I885" s="118"/>
      <c r="J885" s="119"/>
      <c r="K885" s="116"/>
      <c r="L885" s="117"/>
      <c r="M885" s="118"/>
      <c r="N885" s="119"/>
    </row>
    <row r="886" spans="1:14" outlineLevel="1">
      <c r="A886" s="168"/>
      <c r="B886" s="264"/>
      <c r="C886" s="609" t="str">
        <f>IF('Datos ensayos LUM.'!BU116=FALSE,"DATOS DE AGUA Y POST ACONDICIONAMIENTO","")</f>
        <v>DATOS DE AGUA Y POST ACONDICIONAMIENTO</v>
      </c>
      <c r="D886" s="752" t="s">
        <v>910</v>
      </c>
      <c r="E886" s="489" t="s">
        <v>908</v>
      </c>
      <c r="F886" s="360"/>
      <c r="G886" s="387"/>
      <c r="H886" s="387"/>
      <c r="I886" s="387"/>
      <c r="J886" s="387"/>
      <c r="K886" s="387"/>
      <c r="L886" s="387"/>
      <c r="M886" s="387"/>
      <c r="N886" s="387"/>
    </row>
    <row r="887" spans="1:14" outlineLevel="1">
      <c r="A887" s="168"/>
      <c r="B887" s="264"/>
      <c r="C887" s="609"/>
      <c r="D887" s="752"/>
      <c r="E887" s="489" t="s">
        <v>909</v>
      </c>
      <c r="F887" s="360"/>
      <c r="G887" s="387"/>
      <c r="H887" s="387"/>
      <c r="I887" s="387"/>
      <c r="J887" s="387"/>
      <c r="K887" s="387"/>
      <c r="L887" s="387"/>
      <c r="M887" s="387"/>
      <c r="N887" s="387"/>
    </row>
    <row r="888" spans="1:14" outlineLevel="1">
      <c r="A888" s="168"/>
      <c r="B888" s="264"/>
      <c r="C888" s="264"/>
      <c r="D888" s="483"/>
      <c r="E888" s="484"/>
      <c r="F888" s="485"/>
      <c r="G888" s="116"/>
      <c r="H888" s="117"/>
      <c r="I888" s="118"/>
      <c r="J888" s="119"/>
      <c r="K888" s="116"/>
      <c r="L888" s="117"/>
      <c r="M888" s="118"/>
      <c r="N888" s="119"/>
    </row>
    <row r="889" spans="1:14" outlineLevel="1">
      <c r="A889" s="168"/>
      <c r="B889" s="264"/>
      <c r="C889" s="264"/>
      <c r="D889" s="753" t="s">
        <v>912</v>
      </c>
      <c r="E889" s="753"/>
      <c r="F889" s="753"/>
      <c r="G889" s="104"/>
      <c r="H889" s="101"/>
      <c r="I889" s="102"/>
      <c r="J889" s="103"/>
      <c r="K889" s="104"/>
      <c r="L889" s="101"/>
      <c r="M889" s="102"/>
      <c r="N889" s="103"/>
    </row>
    <row r="890" spans="1:14" outlineLevel="1">
      <c r="A890" s="168"/>
      <c r="B890" s="264"/>
      <c r="C890" s="264"/>
      <c r="D890" s="483" t="s">
        <v>913</v>
      </c>
      <c r="E890" s="484"/>
      <c r="F890" s="485"/>
      <c r="G890" s="116"/>
      <c r="H890" s="117"/>
      <c r="I890" s="118"/>
      <c r="J890" s="119"/>
      <c r="K890" s="116"/>
      <c r="L890" s="117"/>
      <c r="M890" s="118"/>
      <c r="N890" s="119"/>
    </row>
    <row r="891" spans="1:14" outlineLevel="1">
      <c r="A891" s="168"/>
      <c r="B891" s="264"/>
      <c r="C891" s="264"/>
      <c r="D891" s="483"/>
      <c r="E891" s="484"/>
      <c r="F891" s="485"/>
      <c r="G891" s="116"/>
      <c r="H891" s="117"/>
      <c r="I891" s="118"/>
      <c r="J891" s="119"/>
      <c r="K891" s="116"/>
      <c r="L891" s="117"/>
      <c r="M891" s="118"/>
      <c r="N891" s="119"/>
    </row>
    <row r="892" spans="1:14" outlineLevel="1">
      <c r="A892" s="168"/>
      <c r="B892" s="264"/>
      <c r="C892" s="264"/>
      <c r="D892" s="483"/>
      <c r="E892" s="484"/>
      <c r="F892" s="485"/>
      <c r="G892" s="116"/>
      <c r="H892" s="117"/>
      <c r="I892" s="118"/>
      <c r="J892" s="119"/>
      <c r="K892" s="116"/>
      <c r="L892" s="117"/>
      <c r="M892" s="118"/>
      <c r="N892" s="119"/>
    </row>
    <row r="893" spans="1:14" outlineLevel="1">
      <c r="A893" s="168"/>
      <c r="B893" s="264"/>
      <c r="C893" s="264"/>
      <c r="D893" s="483"/>
      <c r="E893" s="484"/>
      <c r="F893" s="485"/>
      <c r="G893" s="116"/>
      <c r="H893" s="117"/>
      <c r="I893" s="118"/>
      <c r="J893" s="119"/>
      <c r="K893" s="116"/>
      <c r="L893" s="117"/>
      <c r="M893" s="118"/>
      <c r="N893" s="119"/>
    </row>
    <row r="894" spans="1:14" ht="48" customHeight="1" outlineLevel="1">
      <c r="A894" s="168"/>
      <c r="B894" s="264"/>
      <c r="C894" s="610" t="s">
        <v>900</v>
      </c>
      <c r="D894" s="611"/>
      <c r="E894" s="611"/>
      <c r="F894" s="612"/>
      <c r="G894" s="116"/>
      <c r="H894" s="117"/>
      <c r="I894" s="118"/>
      <c r="J894" s="119"/>
      <c r="K894" s="116"/>
      <c r="L894" s="117"/>
      <c r="M894" s="118"/>
      <c r="N894" s="119"/>
    </row>
    <row r="895" spans="1:14" ht="44.85" customHeight="1" outlineLevel="1">
      <c r="A895" s="168"/>
      <c r="B895" s="264"/>
      <c r="C895" s="613" t="s">
        <v>901</v>
      </c>
      <c r="D895" s="614"/>
      <c r="E895" s="614"/>
      <c r="F895" s="615"/>
      <c r="G895" s="116"/>
      <c r="H895" s="117"/>
      <c r="I895" s="118"/>
      <c r="J895" s="119"/>
      <c r="K895" s="116"/>
      <c r="L895" s="117"/>
      <c r="M895" s="118"/>
      <c r="N895" s="119"/>
    </row>
    <row r="896" spans="1:14" outlineLevel="1">
      <c r="A896" s="168"/>
      <c r="B896" s="264"/>
      <c r="C896" s="264"/>
      <c r="D896" s="483"/>
      <c r="E896" s="484"/>
      <c r="F896" s="485"/>
      <c r="G896" s="116"/>
      <c r="H896" s="117"/>
      <c r="I896" s="118"/>
      <c r="J896" s="119"/>
      <c r="K896" s="116"/>
      <c r="L896" s="117"/>
      <c r="M896" s="118"/>
      <c r="N896" s="119"/>
    </row>
    <row r="897" spans="1:14" outlineLevel="1">
      <c r="A897" s="168"/>
      <c r="B897" s="264"/>
      <c r="C897" s="264"/>
      <c r="D897" s="483"/>
      <c r="E897" s="484"/>
      <c r="F897" s="485"/>
      <c r="G897" s="116"/>
      <c r="H897" s="117"/>
      <c r="I897" s="118"/>
      <c r="J897" s="119"/>
      <c r="K897" s="116"/>
      <c r="L897" s="117"/>
      <c r="M897" s="118"/>
      <c r="N897" s="119"/>
    </row>
    <row r="898" spans="1:14" ht="15" customHeight="1" outlineLevel="2">
      <c r="A898" s="168"/>
      <c r="B898" s="264"/>
      <c r="C898" s="595" t="s">
        <v>911</v>
      </c>
      <c r="D898" s="595"/>
      <c r="E898" s="595"/>
      <c r="F898" s="8"/>
      <c r="G898" s="116"/>
      <c r="H898" s="117"/>
      <c r="I898" s="118"/>
      <c r="J898" s="119"/>
      <c r="K898" s="116"/>
      <c r="L898" s="117"/>
      <c r="M898" s="118"/>
      <c r="N898" s="119"/>
    </row>
    <row r="899" spans="1:14" ht="31.35" customHeight="1" outlineLevel="2">
      <c r="A899" s="168"/>
      <c r="B899" s="264"/>
      <c r="C899" s="595"/>
      <c r="D899" s="595"/>
      <c r="E899" s="595"/>
      <c r="F899" s="8"/>
      <c r="G899" s="116"/>
      <c r="H899" s="117"/>
      <c r="I899" s="118"/>
      <c r="J899" s="119"/>
      <c r="K899" s="116"/>
      <c r="L899" s="117"/>
      <c r="M899" s="118"/>
      <c r="N899" s="119"/>
    </row>
    <row r="900" spans="1:14" ht="15" customHeight="1" outlineLevel="2">
      <c r="B900" s="264"/>
      <c r="C900" s="595"/>
      <c r="D900" s="595"/>
      <c r="E900" s="595"/>
      <c r="F900" s="8"/>
      <c r="G900" s="116"/>
      <c r="H900" s="117"/>
      <c r="I900" s="118"/>
      <c r="J900" s="119"/>
      <c r="K900" s="116"/>
      <c r="L900" s="117"/>
      <c r="M900" s="118"/>
      <c r="N900" s="119"/>
    </row>
    <row r="901" spans="1:14" outlineLevel="2">
      <c r="B901" s="264"/>
      <c r="C901" s="266"/>
      <c r="D901" s="266"/>
      <c r="E901" s="266"/>
      <c r="F901" s="8"/>
      <c r="G901" s="116"/>
      <c r="H901" s="117"/>
      <c r="I901" s="118"/>
      <c r="J901" s="119"/>
      <c r="K901" s="116"/>
      <c r="L901" s="117"/>
      <c r="M901" s="118"/>
      <c r="N901" s="119"/>
    </row>
    <row r="902" spans="1:14" outlineLevel="2">
      <c r="B902" s="264"/>
      <c r="C902" s="536" t="s">
        <v>98</v>
      </c>
      <c r="D902" s="537"/>
      <c r="E902" s="537"/>
      <c r="F902" s="538"/>
      <c r="G902" s="116"/>
      <c r="H902" s="117"/>
      <c r="I902" s="118"/>
      <c r="J902" s="119"/>
      <c r="K902" s="116"/>
      <c r="L902" s="117"/>
      <c r="M902" s="118"/>
      <c r="N902" s="119"/>
    </row>
    <row r="903" spans="1:14" outlineLevel="2">
      <c r="B903" s="264"/>
      <c r="C903" s="539"/>
      <c r="D903" s="540"/>
      <c r="E903" s="540"/>
      <c r="F903" s="541"/>
      <c r="G903" s="116"/>
      <c r="H903" s="117"/>
      <c r="I903" s="118"/>
      <c r="J903" s="119"/>
      <c r="K903" s="116"/>
      <c r="L903" s="117"/>
      <c r="M903" s="118"/>
      <c r="N903" s="119"/>
    </row>
    <row r="904" spans="1:14" outlineLevel="2">
      <c r="B904" s="264"/>
      <c r="C904" s="539"/>
      <c r="D904" s="540"/>
      <c r="E904" s="540"/>
      <c r="F904" s="541"/>
      <c r="G904" s="116"/>
      <c r="H904" s="117"/>
      <c r="I904" s="118"/>
      <c r="J904" s="119"/>
      <c r="K904" s="116"/>
      <c r="L904" s="117"/>
      <c r="M904" s="118"/>
      <c r="N904" s="119"/>
    </row>
    <row r="905" spans="1:14" ht="68.849999999999994" customHeight="1" outlineLevel="2">
      <c r="B905" s="264"/>
      <c r="C905" s="542"/>
      <c r="D905" s="543"/>
      <c r="E905" s="543"/>
      <c r="F905" s="544"/>
      <c r="G905" s="116"/>
      <c r="H905" s="117"/>
      <c r="I905" s="118"/>
      <c r="J905" s="119"/>
      <c r="K905" s="116"/>
      <c r="L905" s="117"/>
      <c r="M905" s="118"/>
      <c r="N905" s="119"/>
    </row>
    <row r="906" spans="1:14" outlineLevel="2">
      <c r="B906" s="8"/>
      <c r="C906" s="8"/>
      <c r="D906" s="8"/>
      <c r="E906" s="8"/>
      <c r="F906" s="8"/>
      <c r="G906" s="116"/>
      <c r="H906" s="117"/>
      <c r="I906" s="118"/>
      <c r="J906" s="119"/>
      <c r="K906" s="116"/>
      <c r="L906" s="117"/>
      <c r="M906" s="118"/>
      <c r="N906" s="119"/>
    </row>
    <row r="907" spans="1:14" outlineLevel="1">
      <c r="B907" s="8"/>
      <c r="C907" s="8"/>
      <c r="D907" s="8"/>
      <c r="E907" s="8"/>
      <c r="F907" s="8"/>
      <c r="G907" s="116"/>
      <c r="H907" s="117"/>
      <c r="I907" s="118"/>
      <c r="J907" s="119"/>
      <c r="K907" s="116"/>
      <c r="L907" s="117"/>
      <c r="M907" s="118"/>
      <c r="N907" s="119"/>
    </row>
    <row r="908" spans="1:14" outlineLevel="1">
      <c r="A908" s="19"/>
      <c r="B908" s="54" t="s">
        <v>1196</v>
      </c>
      <c r="C908" s="54" t="s">
        <v>80</v>
      </c>
      <c r="D908" s="19"/>
      <c r="E908" s="19"/>
      <c r="F908" s="19"/>
      <c r="G908" s="116"/>
      <c r="H908" s="117"/>
      <c r="I908" s="118"/>
      <c r="J908" s="119"/>
      <c r="K908" s="116"/>
      <c r="L908" s="117"/>
      <c r="M908" s="118"/>
      <c r="N908" s="119"/>
    </row>
    <row r="909" spans="1:14" outlineLevel="1">
      <c r="B909" s="19"/>
      <c r="C909" s="267"/>
      <c r="D909" s="36" t="s">
        <v>108</v>
      </c>
      <c r="E909" s="36" t="s">
        <v>109</v>
      </c>
      <c r="F909" s="36" t="s">
        <v>110</v>
      </c>
      <c r="G909" s="116"/>
      <c r="H909" s="117"/>
      <c r="I909" s="118"/>
      <c r="J909" s="119"/>
      <c r="K909" s="116"/>
      <c r="L909" s="117"/>
      <c r="M909" s="118"/>
      <c r="N909" s="119"/>
    </row>
    <row r="910" spans="1:14" outlineLevel="1">
      <c r="B910" s="19"/>
      <c r="C910" s="267"/>
      <c r="D910" s="37"/>
      <c r="E910" s="88"/>
      <c r="F910" s="38"/>
      <c r="G910" s="116"/>
      <c r="H910" s="117"/>
      <c r="I910" s="118"/>
      <c r="J910" s="119"/>
      <c r="K910" s="116"/>
      <c r="L910" s="117"/>
      <c r="M910" s="118"/>
      <c r="N910" s="119"/>
    </row>
    <row r="911" spans="1:14" outlineLevel="2">
      <c r="B911" s="19"/>
      <c r="C911" s="267"/>
      <c r="D911" s="267"/>
      <c r="E911" s="267"/>
      <c r="F911" s="267"/>
      <c r="G911" s="116"/>
      <c r="H911" s="117"/>
      <c r="I911" s="118"/>
      <c r="J911" s="119"/>
      <c r="K911" s="116"/>
      <c r="L911" s="117"/>
      <c r="M911" s="118"/>
      <c r="N911" s="119"/>
    </row>
    <row r="912" spans="1:14" s="19" customFormat="1" ht="14.85" customHeight="1" outlineLevel="2">
      <c r="B912" s="597" t="str">
        <f>IF('Datos ensayos LUM.'!BW41=FALSE,"REVISAR PROCESO Y MARCAR LAS VERIFICAC.","")</f>
        <v>REVISAR PROCESO Y MARCAR LAS VERIFICAC.</v>
      </c>
      <c r="C912" s="19" t="s">
        <v>532</v>
      </c>
      <c r="G912" s="116"/>
      <c r="H912" s="117"/>
      <c r="I912" s="118"/>
      <c r="J912" s="119"/>
      <c r="K912" s="116"/>
      <c r="L912" s="117"/>
      <c r="M912" s="118"/>
      <c r="N912" s="119"/>
    </row>
    <row r="913" spans="1:14" outlineLevel="2">
      <c r="B913" s="597"/>
      <c r="C913" s="19"/>
      <c r="D913" s="19"/>
      <c r="E913" s="19"/>
      <c r="F913" s="19"/>
      <c r="G913" s="116"/>
      <c r="H913" s="117"/>
      <c r="I913" s="118"/>
      <c r="J913" s="119"/>
      <c r="K913" s="116"/>
      <c r="L913" s="117"/>
      <c r="M913" s="118"/>
      <c r="N913" s="119"/>
    </row>
    <row r="914" spans="1:14" outlineLevel="2">
      <c r="B914" s="597"/>
      <c r="C914" s="268"/>
      <c r="D914" s="268"/>
      <c r="E914" s="268"/>
      <c r="F914" s="19"/>
      <c r="G914" s="116"/>
      <c r="H914" s="117"/>
      <c r="I914" s="118"/>
      <c r="J914" s="119"/>
      <c r="K914" s="116"/>
      <c r="L914" s="117"/>
      <c r="M914" s="118"/>
      <c r="N914" s="119"/>
    </row>
    <row r="915" spans="1:14" outlineLevel="2">
      <c r="B915" s="597"/>
      <c r="C915" s="269"/>
      <c r="D915" s="268"/>
      <c r="E915" s="268"/>
      <c r="F915" s="19"/>
      <c r="G915" s="116"/>
      <c r="H915" s="117"/>
      <c r="I915" s="118"/>
      <c r="J915" s="119"/>
      <c r="K915" s="116"/>
      <c r="L915" s="117"/>
      <c r="M915" s="118"/>
      <c r="N915" s="119"/>
    </row>
    <row r="916" spans="1:14" outlineLevel="2">
      <c r="B916" s="597"/>
      <c r="C916" s="268"/>
      <c r="D916" s="268"/>
      <c r="E916" s="268"/>
      <c r="F916" s="19"/>
      <c r="G916" s="116"/>
      <c r="H916" s="117"/>
      <c r="I916" s="118"/>
      <c r="J916" s="119"/>
      <c r="K916" s="116"/>
      <c r="L916" s="117"/>
      <c r="M916" s="118"/>
      <c r="N916" s="119"/>
    </row>
    <row r="917" spans="1:14" outlineLevel="2">
      <c r="B917" s="481"/>
      <c r="C917" s="268"/>
      <c r="D917" s="268"/>
      <c r="E917" s="268"/>
      <c r="F917" s="19"/>
      <c r="G917" s="116"/>
      <c r="H917" s="117"/>
      <c r="I917" s="118"/>
      <c r="J917" s="119"/>
      <c r="K917" s="116"/>
      <c r="L917" s="117"/>
      <c r="M917" s="118"/>
      <c r="N917" s="119"/>
    </row>
    <row r="918" spans="1:14" outlineLevel="2">
      <c r="A918" s="168"/>
      <c r="B918" s="481"/>
      <c r="C918" s="508" t="str">
        <f>IF('Datos ensayos LUM.'!BU134=FALSE,"VERIFICAR SI LA MUESTRA SE HA ACONDICIONADO CORRECTAMENTE","")</f>
        <v>VERIFICAR SI LA MUESTRA SE HA ACONDICIONADO CORRECTAMENTE</v>
      </c>
      <c r="D918" s="268"/>
      <c r="E918" s="268"/>
      <c r="F918" s="19"/>
      <c r="G918" s="116"/>
      <c r="H918" s="117"/>
      <c r="I918" s="118"/>
      <c r="J918" s="119"/>
      <c r="K918" s="116"/>
      <c r="L918" s="117"/>
      <c r="M918" s="118"/>
      <c r="N918" s="119"/>
    </row>
    <row r="919" spans="1:14" ht="15" customHeight="1" outlineLevel="2">
      <c r="A919" s="168"/>
      <c r="B919" s="506" t="b">
        <v>1</v>
      </c>
      <c r="C919" s="703" t="s">
        <v>944</v>
      </c>
      <c r="D919" s="703"/>
      <c r="E919" s="701" t="s">
        <v>949</v>
      </c>
      <c r="F919" s="502" t="s">
        <v>948</v>
      </c>
      <c r="G919" s="499"/>
      <c r="H919" s="387"/>
      <c r="I919" s="387"/>
      <c r="J919" s="387"/>
      <c r="K919" s="387"/>
      <c r="L919" s="387"/>
      <c r="M919" s="387"/>
      <c r="N919" s="387"/>
    </row>
    <row r="920" spans="1:14" outlineLevel="2">
      <c r="A920" s="168"/>
      <c r="B920" s="507"/>
      <c r="C920" s="703" t="s">
        <v>946</v>
      </c>
      <c r="D920" s="703"/>
      <c r="E920" s="701"/>
      <c r="F920" s="502" t="s">
        <v>960</v>
      </c>
      <c r="G920" s="491"/>
      <c r="H920" s="387"/>
      <c r="I920" s="387"/>
      <c r="J920" s="387"/>
      <c r="K920" s="387"/>
      <c r="L920" s="387"/>
      <c r="M920" s="387"/>
      <c r="N920" s="387"/>
    </row>
    <row r="921" spans="1:14" outlineLevel="2">
      <c r="A921" s="168"/>
      <c r="B921" s="267"/>
      <c r="C921" s="267" t="s">
        <v>945</v>
      </c>
      <c r="D921" s="72"/>
      <c r="E921" s="701"/>
      <c r="F921" s="502" t="s">
        <v>947</v>
      </c>
      <c r="G921" s="499"/>
      <c r="H921" s="387"/>
      <c r="I921" s="387"/>
      <c r="J921" s="387"/>
      <c r="K921" s="387"/>
      <c r="L921" s="387"/>
      <c r="M921" s="387"/>
      <c r="N921" s="387"/>
    </row>
    <row r="922" spans="1:14" outlineLevel="2">
      <c r="A922" s="168"/>
      <c r="B922" s="481"/>
      <c r="C922" s="268"/>
      <c r="D922" s="268"/>
      <c r="E922" s="701"/>
      <c r="F922" s="502" t="s">
        <v>961</v>
      </c>
      <c r="G922" s="491"/>
      <c r="H922" s="387"/>
      <c r="I922" s="387"/>
      <c r="J922" s="387"/>
      <c r="K922" s="387"/>
      <c r="L922" s="387"/>
      <c r="M922" s="387"/>
      <c r="N922" s="387"/>
    </row>
    <row r="923" spans="1:14" outlineLevel="2">
      <c r="A923" s="168"/>
      <c r="B923" s="481"/>
      <c r="C923" s="268"/>
      <c r="D923" s="268"/>
      <c r="E923" s="268"/>
      <c r="F923" s="19"/>
      <c r="G923" s="116"/>
      <c r="H923" s="117"/>
      <c r="I923" s="118"/>
      <c r="J923" s="119"/>
      <c r="K923" s="116"/>
      <c r="L923" s="117"/>
      <c r="M923" s="118"/>
      <c r="N923" s="119"/>
    </row>
    <row r="924" spans="1:14" outlineLevel="2">
      <c r="A924" s="168"/>
      <c r="B924" s="481"/>
      <c r="C924" s="268"/>
      <c r="D924" s="268"/>
      <c r="E924" s="268"/>
      <c r="F924" s="19"/>
      <c r="G924" s="116"/>
      <c r="H924" s="117"/>
      <c r="I924" s="118"/>
      <c r="J924" s="119"/>
      <c r="K924" s="116"/>
      <c r="L924" s="117"/>
      <c r="M924" s="118"/>
      <c r="N924" s="119"/>
    </row>
    <row r="925" spans="1:14" outlineLevel="2">
      <c r="A925" s="168"/>
      <c r="B925" s="505"/>
      <c r="C925" s="503" t="s">
        <v>966</v>
      </c>
      <c r="D925" s="504"/>
      <c r="E925" s="504"/>
      <c r="F925" s="19"/>
      <c r="G925" s="116"/>
      <c r="H925" s="117"/>
      <c r="I925" s="118"/>
      <c r="J925" s="119"/>
      <c r="K925" s="116"/>
      <c r="L925" s="117"/>
      <c r="M925" s="118"/>
      <c r="N925" s="119"/>
    </row>
    <row r="926" spans="1:14" ht="87.6" customHeight="1" outlineLevel="2">
      <c r="A926" s="168"/>
      <c r="B926" s="496" t="str">
        <f>IF('Datos ensayos LUM.'!BU137=FALSE,"SELECCIONAR LA DISPOSICIÓN DE LA LLAMA","")</f>
        <v>SELECCIONAR LA DISPOSICIÓN DE LA LLAMA</v>
      </c>
      <c r="C926" s="268" t="e" vm="1">
        <v>#VALUE!</v>
      </c>
      <c r="D926" s="582" t="e" vm="2">
        <v>#VALUE!</v>
      </c>
      <c r="E926" s="582"/>
      <c r="F926" s="19"/>
      <c r="G926" s="116"/>
      <c r="H926" s="117"/>
      <c r="I926" s="118"/>
      <c r="J926" s="119"/>
      <c r="K926" s="116"/>
      <c r="L926" s="117"/>
      <c r="M926" s="118"/>
      <c r="N926" s="119"/>
    </row>
    <row r="927" spans="1:14" outlineLevel="2">
      <c r="A927" s="168"/>
      <c r="B927" s="481"/>
      <c r="C927" s="511" t="b">
        <v>0</v>
      </c>
      <c r="D927" s="702" t="b">
        <v>0</v>
      </c>
      <c r="E927" s="702"/>
      <c r="F927" s="19"/>
      <c r="G927" s="116"/>
      <c r="H927" s="117"/>
      <c r="I927" s="118"/>
      <c r="J927" s="119"/>
      <c r="K927" s="116"/>
      <c r="L927" s="117"/>
      <c r="M927" s="118"/>
      <c r="N927" s="119"/>
    </row>
    <row r="928" spans="1:14" outlineLevel="2">
      <c r="A928" s="168"/>
      <c r="B928" s="481"/>
      <c r="C928" s="268"/>
      <c r="D928" s="268"/>
      <c r="E928" s="268"/>
      <c r="F928" s="19"/>
      <c r="G928" s="116"/>
      <c r="H928" s="117"/>
      <c r="I928" s="118"/>
      <c r="J928" s="119"/>
      <c r="K928" s="116"/>
      <c r="L928" s="117"/>
      <c r="M928" s="118"/>
      <c r="N928" s="119"/>
    </row>
    <row r="929" spans="1:14" ht="15" customHeight="1" outlineLevel="2">
      <c r="A929" s="168"/>
      <c r="B929" s="481"/>
      <c r="C929" s="597" t="str">
        <f>IF('Datos ensayos LUM.'!BU141=FALSE,"COMPLETAR LOS RESULTADOS","")</f>
        <v>COMPLETAR LOS RESULTADOS</v>
      </c>
      <c r="D929" s="600"/>
      <c r="E929" s="704" t="s">
        <v>967</v>
      </c>
      <c r="F929" s="704"/>
      <c r="G929" s="387"/>
      <c r="H929" s="387"/>
      <c r="I929" s="387"/>
      <c r="J929" s="387"/>
      <c r="K929" s="387"/>
      <c r="L929" s="387"/>
      <c r="M929" s="387"/>
      <c r="N929" s="387"/>
    </row>
    <row r="930" spans="1:14" outlineLevel="2">
      <c r="A930" s="168"/>
      <c r="B930" s="481"/>
      <c r="C930" s="597"/>
      <c r="D930" s="600"/>
      <c r="E930" s="705" t="s">
        <v>972</v>
      </c>
      <c r="F930" s="706"/>
      <c r="G930" s="510" t="b">
        <v>0</v>
      </c>
      <c r="H930" s="510" t="b">
        <v>0</v>
      </c>
      <c r="I930" s="510" t="b">
        <v>0</v>
      </c>
      <c r="J930" s="510" t="b">
        <v>0</v>
      </c>
      <c r="K930" s="510" t="b">
        <v>0</v>
      </c>
      <c r="L930" s="510" t="b">
        <v>0</v>
      </c>
      <c r="M930" s="510" t="b">
        <v>0</v>
      </c>
      <c r="N930" s="510" t="b">
        <v>0</v>
      </c>
    </row>
    <row r="931" spans="1:14" outlineLevel="2">
      <c r="A931" s="168"/>
      <c r="B931" s="481"/>
      <c r="C931" s="269"/>
      <c r="D931" s="268"/>
      <c r="E931" s="509"/>
      <c r="F931" s="509"/>
      <c r="G931" s="116"/>
      <c r="H931" s="117"/>
      <c r="I931" s="118"/>
      <c r="J931" s="119"/>
      <c r="K931" s="116"/>
      <c r="L931" s="117"/>
      <c r="M931" s="118"/>
      <c r="N931" s="119"/>
    </row>
    <row r="932" spans="1:14" outlineLevel="3">
      <c r="A932" s="168"/>
      <c r="B932" s="481"/>
      <c r="C932" s="269"/>
      <c r="D932" s="268"/>
      <c r="E932" s="268"/>
      <c r="F932" s="19"/>
      <c r="G932" s="116"/>
      <c r="H932" s="117"/>
      <c r="I932" s="118"/>
      <c r="J932" s="119"/>
      <c r="K932" s="116"/>
      <c r="L932" s="117"/>
      <c r="M932" s="118"/>
      <c r="N932" s="119"/>
    </row>
    <row r="933" spans="1:14" outlineLevel="3">
      <c r="A933" s="168"/>
      <c r="B933" s="481"/>
      <c r="C933" s="503" t="s">
        <v>965</v>
      </c>
      <c r="D933" s="268"/>
      <c r="E933" s="268"/>
      <c r="F933" s="19"/>
      <c r="G933" s="116"/>
      <c r="H933" s="117"/>
      <c r="I933" s="118"/>
      <c r="J933" s="119"/>
      <c r="K933" s="116"/>
      <c r="L933" s="117"/>
      <c r="M933" s="118"/>
      <c r="N933" s="119"/>
    </row>
    <row r="934" spans="1:14" outlineLevel="3">
      <c r="A934" s="168"/>
      <c r="B934" s="481"/>
      <c r="C934" s="269" t="s">
        <v>962</v>
      </c>
      <c r="D934" s="268"/>
      <c r="E934" s="268"/>
      <c r="F934" s="19"/>
      <c r="G934" s="116"/>
      <c r="H934" s="117"/>
      <c r="I934" s="118"/>
      <c r="J934" s="119"/>
      <c r="K934" s="116"/>
      <c r="L934" s="117"/>
      <c r="M934" s="118"/>
      <c r="N934" s="119"/>
    </row>
    <row r="935" spans="1:14" outlineLevel="3">
      <c r="A935" s="168"/>
      <c r="B935" s="481"/>
      <c r="C935" s="269" t="s">
        <v>963</v>
      </c>
      <c r="D935" s="268"/>
      <c r="E935" s="268"/>
      <c r="F935" s="19"/>
      <c r="G935" s="116"/>
      <c r="H935" s="117"/>
      <c r="I935" s="118"/>
      <c r="J935" s="119"/>
      <c r="K935" s="116"/>
      <c r="L935" s="117"/>
      <c r="M935" s="118"/>
      <c r="N935" s="119"/>
    </row>
    <row r="936" spans="1:14" outlineLevel="3">
      <c r="A936" s="168"/>
      <c r="B936" s="481"/>
      <c r="C936" s="269" t="s">
        <v>964</v>
      </c>
      <c r="D936" s="268"/>
      <c r="E936" s="268"/>
      <c r="F936" s="19"/>
      <c r="G936" s="116"/>
      <c r="H936" s="117"/>
      <c r="I936" s="118"/>
      <c r="J936" s="119"/>
      <c r="K936" s="116"/>
      <c r="L936" s="117"/>
      <c r="M936" s="118"/>
      <c r="N936" s="119"/>
    </row>
    <row r="937" spans="1:14" outlineLevel="3">
      <c r="A937" s="168"/>
      <c r="B937" s="481"/>
      <c r="C937" s="269"/>
      <c r="D937" s="268"/>
      <c r="E937" s="268"/>
      <c r="F937" s="19"/>
      <c r="G937" s="116"/>
      <c r="H937" s="117"/>
      <c r="I937" s="118"/>
      <c r="J937" s="119"/>
      <c r="K937" s="116"/>
      <c r="L937" s="117"/>
      <c r="M937" s="118"/>
      <c r="N937" s="119"/>
    </row>
    <row r="938" spans="1:14" outlineLevel="3">
      <c r="A938" s="168"/>
      <c r="B938" s="481"/>
      <c r="C938" s="503" t="s">
        <v>968</v>
      </c>
      <c r="D938" s="268"/>
      <c r="E938" s="268"/>
      <c r="F938" s="19"/>
      <c r="G938" s="116"/>
      <c r="H938" s="117"/>
      <c r="I938" s="118"/>
      <c r="J938" s="119"/>
      <c r="K938" s="116"/>
      <c r="L938" s="117"/>
      <c r="M938" s="118"/>
      <c r="N938" s="119"/>
    </row>
    <row r="939" spans="1:14" ht="44.1" customHeight="1" outlineLevel="3">
      <c r="A939" s="168"/>
      <c r="B939" s="481"/>
      <c r="C939" s="754" t="s">
        <v>970</v>
      </c>
      <c r="D939" s="755"/>
      <c r="E939" s="755"/>
      <c r="F939" s="755"/>
      <c r="G939" s="116"/>
      <c r="H939" s="117"/>
      <c r="I939" s="118"/>
      <c r="J939" s="119"/>
      <c r="K939" s="116"/>
      <c r="L939" s="117"/>
      <c r="M939" s="118"/>
      <c r="N939" s="119"/>
    </row>
    <row r="940" spans="1:14" ht="43.35" customHeight="1" outlineLevel="3">
      <c r="A940" s="168"/>
      <c r="B940" s="481"/>
      <c r="C940" s="754" t="s">
        <v>969</v>
      </c>
      <c r="D940" s="755"/>
      <c r="E940" s="755"/>
      <c r="F940" s="755"/>
      <c r="G940" s="116"/>
      <c r="H940" s="117"/>
      <c r="I940" s="118"/>
      <c r="J940" s="119"/>
      <c r="K940" s="116"/>
      <c r="L940" s="117"/>
      <c r="M940" s="118"/>
      <c r="N940" s="119"/>
    </row>
    <row r="941" spans="1:14" outlineLevel="3">
      <c r="A941" s="168"/>
      <c r="B941" s="481"/>
      <c r="C941" s="269"/>
      <c r="D941" s="268"/>
      <c r="E941" s="268"/>
      <c r="F941" s="19"/>
      <c r="G941" s="116"/>
      <c r="H941" s="117"/>
      <c r="I941" s="118"/>
      <c r="J941" s="119"/>
      <c r="K941" s="116"/>
      <c r="L941" s="117"/>
      <c r="M941" s="118"/>
      <c r="N941" s="119"/>
    </row>
    <row r="942" spans="1:14" outlineLevel="2">
      <c r="A942" s="168"/>
      <c r="B942" s="481"/>
      <c r="C942" s="269"/>
      <c r="D942" s="268"/>
      <c r="E942" s="268"/>
      <c r="F942" s="19"/>
      <c r="G942" s="116"/>
      <c r="H942" s="117"/>
      <c r="I942" s="118"/>
      <c r="J942" s="119"/>
      <c r="K942" s="116"/>
      <c r="L942" s="117"/>
      <c r="M942" s="118"/>
      <c r="N942" s="119"/>
    </row>
    <row r="943" spans="1:14" outlineLevel="2">
      <c r="B943" s="481"/>
      <c r="C943" s="269"/>
      <c r="D943" s="268"/>
      <c r="E943" s="268"/>
      <c r="F943" s="19"/>
      <c r="G943" s="116"/>
      <c r="H943" s="117"/>
      <c r="I943" s="118"/>
      <c r="J943" s="119"/>
      <c r="K943" s="116"/>
      <c r="L943" s="117"/>
      <c r="M943" s="118"/>
      <c r="N943" s="119"/>
    </row>
    <row r="944" spans="1:14" ht="14.85" customHeight="1" outlineLevel="2">
      <c r="B944" s="19"/>
      <c r="C944" s="582" t="s">
        <v>973</v>
      </c>
      <c r="D944" s="582"/>
      <c r="E944" s="582"/>
      <c r="F944" s="19"/>
      <c r="G944" s="116"/>
      <c r="H944" s="117"/>
      <c r="I944" s="118"/>
      <c r="J944" s="119"/>
      <c r="K944" s="116"/>
      <c r="L944" s="117"/>
      <c r="M944" s="118"/>
      <c r="N944" s="119"/>
    </row>
    <row r="945" spans="1:14" outlineLevel="2">
      <c r="B945" s="19"/>
      <c r="C945" s="582"/>
      <c r="D945" s="582"/>
      <c r="E945" s="582"/>
      <c r="F945" s="19"/>
      <c r="G945" s="116"/>
      <c r="H945" s="117"/>
      <c r="I945" s="118"/>
      <c r="J945" s="119"/>
      <c r="K945" s="116"/>
      <c r="L945" s="117"/>
      <c r="M945" s="118"/>
      <c r="N945" s="119"/>
    </row>
    <row r="946" spans="1:14" ht="34.35" customHeight="1" outlineLevel="2">
      <c r="B946" s="19"/>
      <c r="C946" s="582"/>
      <c r="D946" s="582"/>
      <c r="E946" s="582"/>
      <c r="F946" s="19"/>
      <c r="G946" s="116"/>
      <c r="H946" s="117"/>
      <c r="I946" s="118"/>
      <c r="J946" s="119"/>
      <c r="K946" s="116"/>
      <c r="L946" s="117"/>
      <c r="M946" s="118"/>
      <c r="N946" s="119"/>
    </row>
    <row r="947" spans="1:14" outlineLevel="2">
      <c r="B947" s="19"/>
      <c r="C947" s="268"/>
      <c r="D947" s="268"/>
      <c r="E947" s="268"/>
      <c r="F947" s="19"/>
      <c r="G947" s="116"/>
      <c r="H947" s="117"/>
      <c r="I947" s="118"/>
      <c r="J947" s="119"/>
      <c r="K947" s="116"/>
      <c r="L947" s="117"/>
      <c r="M947" s="118"/>
      <c r="N947" s="119"/>
    </row>
    <row r="948" spans="1:14" outlineLevel="2">
      <c r="B948" s="19"/>
      <c r="C948" s="536" t="s">
        <v>98</v>
      </c>
      <c r="D948" s="537"/>
      <c r="E948" s="537"/>
      <c r="F948" s="538"/>
      <c r="G948" s="116"/>
      <c r="H948" s="117"/>
      <c r="I948" s="118"/>
      <c r="J948" s="119"/>
      <c r="K948" s="116"/>
      <c r="L948" s="117"/>
      <c r="M948" s="118"/>
      <c r="N948" s="119"/>
    </row>
    <row r="949" spans="1:14" outlineLevel="2">
      <c r="B949" s="19"/>
      <c r="C949" s="539"/>
      <c r="D949" s="540"/>
      <c r="E949" s="540"/>
      <c r="F949" s="541"/>
      <c r="G949" s="116"/>
      <c r="H949" s="117"/>
      <c r="I949" s="118"/>
      <c r="J949" s="119"/>
      <c r="K949" s="116"/>
      <c r="L949" s="117"/>
      <c r="M949" s="118"/>
      <c r="N949" s="119"/>
    </row>
    <row r="950" spans="1:14" outlineLevel="2">
      <c r="B950" s="19"/>
      <c r="C950" s="539"/>
      <c r="D950" s="540"/>
      <c r="E950" s="540"/>
      <c r="F950" s="541"/>
      <c r="G950" s="116"/>
      <c r="H950" s="117"/>
      <c r="I950" s="118"/>
      <c r="J950" s="119"/>
      <c r="K950" s="116"/>
      <c r="L950" s="117"/>
      <c r="M950" s="118"/>
      <c r="N950" s="119"/>
    </row>
    <row r="951" spans="1:14" outlineLevel="2">
      <c r="B951" s="19"/>
      <c r="C951" s="542"/>
      <c r="D951" s="543"/>
      <c r="E951" s="543"/>
      <c r="F951" s="544"/>
      <c r="G951" s="116"/>
      <c r="H951" s="117"/>
      <c r="I951" s="118"/>
      <c r="J951" s="119"/>
      <c r="K951" s="116"/>
      <c r="L951" s="117"/>
      <c r="M951" s="118"/>
      <c r="N951" s="119"/>
    </row>
    <row r="952" spans="1:14" outlineLevel="2">
      <c r="B952" s="19"/>
      <c r="C952" s="19"/>
      <c r="D952" s="19"/>
      <c r="E952" s="19"/>
      <c r="F952" s="19"/>
      <c r="G952" s="116"/>
      <c r="H952" s="117"/>
      <c r="I952" s="118"/>
      <c r="J952" s="119"/>
      <c r="K952" s="116"/>
      <c r="L952" s="117"/>
      <c r="M952" s="118"/>
      <c r="N952" s="119"/>
    </row>
    <row r="953" spans="1:14" outlineLevel="1">
      <c r="B953" s="19"/>
      <c r="C953" s="19"/>
      <c r="D953" s="19"/>
      <c r="E953" s="19"/>
      <c r="F953" s="19"/>
      <c r="G953" s="116"/>
      <c r="H953" s="117"/>
      <c r="I953" s="118"/>
      <c r="J953" s="119"/>
      <c r="K953" s="116"/>
      <c r="L953" s="117"/>
      <c r="M953" s="118"/>
      <c r="N953" s="119"/>
    </row>
    <row r="954" spans="1:14" outlineLevel="1">
      <c r="B954" s="9"/>
      <c r="C954" s="9"/>
      <c r="D954" s="9"/>
      <c r="E954" s="9"/>
      <c r="F954" s="9"/>
      <c r="G954" s="116"/>
      <c r="H954" s="117"/>
      <c r="I954" s="118"/>
      <c r="J954" s="119"/>
      <c r="K954" s="116"/>
      <c r="L954" s="117"/>
      <c r="M954" s="118"/>
      <c r="N954" s="119"/>
    </row>
    <row r="955" spans="1:14" outlineLevel="1">
      <c r="A955" s="9"/>
      <c r="B955" s="61" t="s">
        <v>1197</v>
      </c>
      <c r="C955" s="61" t="s">
        <v>531</v>
      </c>
      <c r="D955" s="9"/>
      <c r="E955" s="9"/>
      <c r="F955" s="9"/>
      <c r="G955" s="116"/>
      <c r="H955" s="117"/>
      <c r="I955" s="118"/>
      <c r="J955" s="119"/>
      <c r="K955" s="116"/>
      <c r="L955" s="117"/>
      <c r="M955" s="118"/>
      <c r="N955" s="119"/>
    </row>
    <row r="956" spans="1:14" outlineLevel="1">
      <c r="A956" s="168"/>
      <c r="B956" s="9"/>
      <c r="C956" s="272"/>
      <c r="D956" s="36" t="s">
        <v>108</v>
      </c>
      <c r="E956" s="36" t="s">
        <v>109</v>
      </c>
      <c r="F956" s="36" t="s">
        <v>110</v>
      </c>
      <c r="G956" s="116"/>
      <c r="H956" s="117"/>
      <c r="I956" s="118"/>
      <c r="J956" s="119"/>
      <c r="K956" s="116"/>
      <c r="L956" s="117"/>
      <c r="M956" s="118"/>
      <c r="N956" s="119"/>
    </row>
    <row r="957" spans="1:14" outlineLevel="1">
      <c r="A957" s="168"/>
      <c r="B957" s="9"/>
      <c r="C957" s="272"/>
      <c r="D957" s="37"/>
      <c r="E957" s="88"/>
      <c r="F957" s="38">
        <v>15</v>
      </c>
      <c r="G957" s="116"/>
      <c r="H957" s="117"/>
      <c r="I957" s="118"/>
      <c r="J957" s="119"/>
      <c r="K957" s="116"/>
      <c r="L957" s="117"/>
      <c r="M957" s="118"/>
      <c r="N957" s="119"/>
    </row>
    <row r="958" spans="1:14" outlineLevel="2">
      <c r="A958" s="168"/>
      <c r="B958" s="9"/>
      <c r="C958" s="9" t="s">
        <v>532</v>
      </c>
      <c r="D958" s="9"/>
      <c r="E958" s="9"/>
      <c r="F958" s="9"/>
      <c r="G958" s="116"/>
      <c r="H958" s="117"/>
      <c r="I958" s="118"/>
      <c r="J958" s="119"/>
      <c r="K958" s="116"/>
      <c r="L958" s="117"/>
      <c r="M958" s="118"/>
      <c r="N958" s="119"/>
    </row>
    <row r="959" spans="1:14" ht="14.85" customHeight="1" outlineLevel="2">
      <c r="A959" s="168"/>
      <c r="B959" s="596" t="str">
        <f>IF('Datos ensayos LUM.'!BW57=FALSE,"REVISAR PROCESO Y MARCAR LAS VERIFICAC.","")</f>
        <v>REVISAR PROCESO Y MARCAR LAS VERIFICAC.</v>
      </c>
      <c r="C959" s="9"/>
      <c r="D959" s="9"/>
      <c r="E959" s="9"/>
      <c r="F959" s="9"/>
      <c r="G959" s="116"/>
      <c r="H959" s="117"/>
      <c r="I959" s="118"/>
      <c r="J959" s="119"/>
      <c r="K959" s="116"/>
      <c r="L959" s="117"/>
      <c r="M959" s="118"/>
      <c r="N959" s="119"/>
    </row>
    <row r="960" spans="1:14" outlineLevel="2">
      <c r="A960" s="168"/>
      <c r="B960" s="596"/>
      <c r="C960" s="9"/>
      <c r="D960" s="9"/>
      <c r="E960" s="9"/>
      <c r="F960" s="479" t="s">
        <v>876</v>
      </c>
      <c r="G960" s="197"/>
      <c r="H960" s="101"/>
      <c r="I960" s="102"/>
      <c r="J960" s="103"/>
      <c r="K960" s="104"/>
      <c r="L960" s="101"/>
      <c r="M960" s="102"/>
      <c r="N960" s="103"/>
    </row>
    <row r="961" spans="1:14" outlineLevel="2">
      <c r="A961" s="168"/>
      <c r="B961" s="596"/>
      <c r="C961" s="9"/>
      <c r="D961" s="9"/>
      <c r="E961" s="9"/>
      <c r="F961" s="9"/>
      <c r="G961" s="116"/>
      <c r="H961" s="117"/>
      <c r="I961" s="118"/>
      <c r="J961" s="119"/>
      <c r="K961" s="116"/>
      <c r="L961" s="117"/>
      <c r="M961" s="118"/>
      <c r="N961" s="119"/>
    </row>
    <row r="962" spans="1:14" outlineLevel="2">
      <c r="A962" s="168"/>
      <c r="B962" s="596"/>
      <c r="C962" s="9"/>
      <c r="D962" s="9"/>
      <c r="E962" s="9"/>
      <c r="F962" s="9"/>
      <c r="G962" s="116"/>
      <c r="H962" s="117"/>
      <c r="I962" s="118"/>
      <c r="J962" s="119"/>
      <c r="K962" s="116"/>
      <c r="L962" s="117"/>
      <c r="M962" s="118"/>
      <c r="N962" s="119"/>
    </row>
    <row r="963" spans="1:14" outlineLevel="2">
      <c r="A963" s="168"/>
      <c r="B963" s="596"/>
      <c r="C963" s="9"/>
      <c r="D963" s="9"/>
      <c r="E963" s="9"/>
      <c r="F963" s="9"/>
      <c r="G963" s="116"/>
      <c r="H963" s="117"/>
      <c r="I963" s="118"/>
      <c r="J963" s="119"/>
      <c r="K963" s="116"/>
      <c r="L963" s="117"/>
      <c r="M963" s="118"/>
      <c r="N963" s="119"/>
    </row>
    <row r="964" spans="1:14" ht="14.85" customHeight="1" outlineLevel="2">
      <c r="A964" s="168"/>
      <c r="B964" s="478"/>
      <c r="C964" s="596" t="str">
        <f>IF(AND('Datos ensayos LUM.'!BW58,'Datos ensayos LUM.'!BX53),"","REVISAR EL TAMAÑO DE LA MUESTRA Y/O EL DIÁMETRO DEL HILO")</f>
        <v>REVISAR EL TAMAÑO DE LA MUESTRA Y/O EL DIÁMETRO DEL HILO</v>
      </c>
      <c r="D964" s="599"/>
      <c r="E964" s="716" t="s">
        <v>873</v>
      </c>
      <c r="F964" s="480" t="s">
        <v>870</v>
      </c>
      <c r="G964" s="197"/>
      <c r="H964" s="197"/>
      <c r="I964" s="197"/>
      <c r="J964" s="197"/>
      <c r="K964" s="197"/>
      <c r="L964" s="197"/>
      <c r="M964" s="197"/>
      <c r="N964" s="197"/>
    </row>
    <row r="965" spans="1:14" outlineLevel="2">
      <c r="A965" s="168"/>
      <c r="B965" s="478"/>
      <c r="C965" s="596"/>
      <c r="D965" s="599"/>
      <c r="E965" s="717"/>
      <c r="F965" s="480" t="s">
        <v>871</v>
      </c>
      <c r="G965" s="197"/>
      <c r="H965" s="197"/>
      <c r="I965" s="197"/>
      <c r="J965" s="197"/>
      <c r="K965" s="197"/>
      <c r="L965" s="197"/>
      <c r="M965" s="197"/>
      <c r="N965" s="197"/>
    </row>
    <row r="966" spans="1:14" outlineLevel="2">
      <c r="A966" s="168"/>
      <c r="B966" s="478"/>
      <c r="C966" s="596"/>
      <c r="D966" s="599"/>
      <c r="E966" s="718"/>
      <c r="F966" s="480" t="s">
        <v>872</v>
      </c>
      <c r="G966" s="197"/>
      <c r="H966" s="197"/>
      <c r="I966" s="197"/>
      <c r="J966" s="197"/>
      <c r="K966" s="197"/>
      <c r="L966" s="197"/>
      <c r="M966" s="197"/>
      <c r="N966" s="197"/>
    </row>
    <row r="967" spans="1:14" outlineLevel="2">
      <c r="A967" s="168"/>
      <c r="B967" s="478"/>
      <c r="C967" s="478"/>
      <c r="D967" s="478"/>
      <c r="E967" s="500"/>
      <c r="F967" s="479"/>
      <c r="G967" s="116"/>
      <c r="H967" s="117"/>
      <c r="I967" s="118"/>
      <c r="J967" s="119"/>
      <c r="K967" s="116"/>
      <c r="L967" s="117"/>
      <c r="M967" s="118"/>
      <c r="N967" s="119"/>
    </row>
    <row r="968" spans="1:14" outlineLevel="2">
      <c r="A968" s="168"/>
      <c r="B968" s="478"/>
      <c r="C968" s="719"/>
      <c r="D968" s="719"/>
      <c r="E968" s="719"/>
      <c r="F968" s="719"/>
      <c r="G968" s="116"/>
      <c r="H968" s="117"/>
      <c r="I968" s="118"/>
      <c r="J968" s="119"/>
      <c r="K968" s="116"/>
      <c r="L968" s="117"/>
      <c r="M968" s="118"/>
      <c r="N968" s="119"/>
    </row>
    <row r="969" spans="1:14" ht="15.6" customHeight="1" outlineLevel="2">
      <c r="A969" s="168"/>
      <c r="B969" s="478"/>
      <c r="C969" s="596" t="str">
        <f>IF('Datos ensayos LUM.'!BU168=FALSE,"INTRODUCIR DATOS SOBRE EL ACONDICIONAMIENTO DE MUESTRAS DURANTE 24H","")</f>
        <v>INTRODUCIR DATOS SOBRE EL ACONDICIONAMIENTO DE MUESTRAS DURANTE 24H</v>
      </c>
      <c r="D969" s="599"/>
      <c r="E969" s="598" t="s">
        <v>949</v>
      </c>
      <c r="F969" s="482" t="s">
        <v>948</v>
      </c>
      <c r="G969" s="499"/>
      <c r="H969" s="387"/>
      <c r="I969" s="387"/>
      <c r="J969" s="387"/>
      <c r="K969" s="387"/>
      <c r="L969" s="387"/>
      <c r="M969" s="387"/>
      <c r="N969" s="387"/>
    </row>
    <row r="970" spans="1:14" outlineLevel="2">
      <c r="A970" s="168"/>
      <c r="B970" s="478"/>
      <c r="C970" s="596"/>
      <c r="D970" s="599"/>
      <c r="E970" s="598"/>
      <c r="F970" s="482" t="s">
        <v>956</v>
      </c>
      <c r="G970" s="491"/>
      <c r="H970" s="387"/>
      <c r="I970" s="387"/>
      <c r="J970" s="387"/>
      <c r="K970" s="387"/>
      <c r="L970" s="387"/>
      <c r="M970" s="387"/>
      <c r="N970" s="387"/>
    </row>
    <row r="971" spans="1:14" outlineLevel="2">
      <c r="A971" s="168"/>
      <c r="B971" s="478"/>
      <c r="C971" s="596"/>
      <c r="D971" s="599"/>
      <c r="E971" s="598"/>
      <c r="F971" s="482" t="s">
        <v>947</v>
      </c>
      <c r="G971" s="499"/>
      <c r="H971" s="387"/>
      <c r="I971" s="387"/>
      <c r="J971" s="387"/>
      <c r="K971" s="387"/>
      <c r="L971" s="387"/>
      <c r="M971" s="387"/>
      <c r="N971" s="387"/>
    </row>
    <row r="972" spans="1:14" outlineLevel="2">
      <c r="A972" s="168"/>
      <c r="B972" s="478"/>
      <c r="C972" s="596"/>
      <c r="D972" s="599"/>
      <c r="E972" s="598"/>
      <c r="F972" s="482" t="s">
        <v>957</v>
      </c>
      <c r="G972" s="491"/>
      <c r="H972" s="387"/>
      <c r="I972" s="387"/>
      <c r="J972" s="387"/>
      <c r="K972" s="387"/>
      <c r="L972" s="387"/>
      <c r="M972" s="387"/>
      <c r="N972" s="387"/>
    </row>
    <row r="973" spans="1:14" outlineLevel="2">
      <c r="A973" s="168"/>
      <c r="B973" s="478"/>
      <c r="C973" s="478"/>
      <c r="D973" s="478"/>
      <c r="E973" s="500"/>
      <c r="F973" s="479"/>
      <c r="G973" s="116"/>
      <c r="H973" s="117"/>
      <c r="I973" s="118"/>
      <c r="J973" s="119"/>
      <c r="K973" s="116"/>
      <c r="L973" s="117"/>
      <c r="M973" s="118"/>
      <c r="N973" s="119"/>
    </row>
    <row r="974" spans="1:14" ht="14.85" customHeight="1" outlineLevel="2">
      <c r="A974" s="168"/>
      <c r="B974" s="9"/>
      <c r="C974" s="594" t="s">
        <v>533</v>
      </c>
      <c r="D974" s="594"/>
      <c r="E974" s="594"/>
      <c r="F974" s="9"/>
      <c r="G974" s="116"/>
      <c r="H974" s="117"/>
      <c r="I974" s="118"/>
      <c r="J974" s="119"/>
      <c r="K974" s="116"/>
      <c r="L974" s="117"/>
      <c r="M974" s="118"/>
      <c r="N974" s="119"/>
    </row>
    <row r="975" spans="1:14" outlineLevel="2">
      <c r="A975" s="168"/>
      <c r="B975" s="9"/>
      <c r="C975" s="594"/>
      <c r="D975" s="594"/>
      <c r="E975" s="594"/>
      <c r="F975" s="9"/>
      <c r="G975" s="116"/>
      <c r="H975" s="117"/>
      <c r="I975" s="118"/>
      <c r="J975" s="119"/>
      <c r="K975" s="116"/>
      <c r="L975" s="117"/>
      <c r="M975" s="118"/>
      <c r="N975" s="119"/>
    </row>
    <row r="976" spans="1:14" outlineLevel="2">
      <c r="A976" s="168"/>
      <c r="B976" s="9"/>
      <c r="C976" s="594"/>
      <c r="D976" s="594"/>
      <c r="E976" s="594"/>
      <c r="F976" s="9"/>
      <c r="G976" s="116"/>
      <c r="H976" s="117"/>
      <c r="I976" s="118"/>
      <c r="J976" s="119"/>
      <c r="K976" s="116"/>
      <c r="L976" s="117"/>
      <c r="M976" s="118"/>
      <c r="N976" s="119"/>
    </row>
    <row r="977" spans="1:14" outlineLevel="2">
      <c r="B977" s="9"/>
      <c r="C977" s="9"/>
      <c r="D977" s="9"/>
      <c r="E977" s="9"/>
      <c r="F977" s="9"/>
      <c r="G977" s="116"/>
      <c r="H977" s="117"/>
      <c r="I977" s="118"/>
      <c r="J977" s="119"/>
      <c r="K977" s="116"/>
      <c r="L977" s="117"/>
      <c r="M977" s="118"/>
      <c r="N977" s="119"/>
    </row>
    <row r="978" spans="1:14" outlineLevel="2">
      <c r="B978" s="9"/>
      <c r="C978" s="536" t="s">
        <v>98</v>
      </c>
      <c r="D978" s="537"/>
      <c r="E978" s="537"/>
      <c r="F978" s="538"/>
      <c r="G978" s="116"/>
      <c r="H978" s="117"/>
      <c r="I978" s="118"/>
      <c r="J978" s="119"/>
      <c r="K978" s="116"/>
      <c r="L978" s="117"/>
      <c r="M978" s="118"/>
      <c r="N978" s="119"/>
    </row>
    <row r="979" spans="1:14" outlineLevel="2">
      <c r="B979" s="9"/>
      <c r="C979" s="539"/>
      <c r="D979" s="540"/>
      <c r="E979" s="540"/>
      <c r="F979" s="541"/>
      <c r="G979" s="116"/>
      <c r="H979" s="117"/>
      <c r="I979" s="118"/>
      <c r="J979" s="119"/>
      <c r="K979" s="116"/>
      <c r="L979" s="117"/>
      <c r="M979" s="118"/>
      <c r="N979" s="119"/>
    </row>
    <row r="980" spans="1:14" outlineLevel="2">
      <c r="B980" s="9"/>
      <c r="C980" s="539"/>
      <c r="D980" s="540"/>
      <c r="E980" s="540"/>
      <c r="F980" s="541"/>
      <c r="G980" s="116"/>
      <c r="H980" s="117"/>
      <c r="I980" s="118"/>
      <c r="J980" s="119"/>
      <c r="K980" s="116"/>
      <c r="L980" s="117"/>
      <c r="M980" s="118"/>
      <c r="N980" s="119"/>
    </row>
    <row r="981" spans="1:14" outlineLevel="2">
      <c r="B981" s="9"/>
      <c r="C981" s="542"/>
      <c r="D981" s="543"/>
      <c r="E981" s="543"/>
      <c r="F981" s="544"/>
      <c r="G981" s="116"/>
      <c r="H981" s="117"/>
      <c r="I981" s="118"/>
      <c r="J981" s="119"/>
      <c r="K981" s="116"/>
      <c r="L981" s="117"/>
      <c r="M981" s="118"/>
      <c r="N981" s="119"/>
    </row>
    <row r="982" spans="1:14" outlineLevel="2">
      <c r="B982" s="9"/>
      <c r="C982" s="9"/>
      <c r="D982" s="9"/>
      <c r="E982" s="9"/>
      <c r="F982" s="9"/>
      <c r="G982" s="116"/>
      <c r="H982" s="117"/>
      <c r="I982" s="118"/>
      <c r="J982" s="119"/>
      <c r="K982" s="116"/>
      <c r="L982" s="117"/>
      <c r="M982" s="118"/>
      <c r="N982" s="119"/>
    </row>
    <row r="983" spans="1:14" outlineLevel="1">
      <c r="B983" s="9"/>
      <c r="C983" s="9"/>
      <c r="D983" s="9"/>
      <c r="E983" s="9"/>
      <c r="F983" s="9"/>
      <c r="G983" s="116"/>
      <c r="H983" s="117"/>
      <c r="I983" s="118"/>
      <c r="J983" s="119"/>
      <c r="K983" s="116"/>
      <c r="L983" s="117"/>
      <c r="M983" s="118"/>
      <c r="N983" s="119"/>
    </row>
    <row r="984" spans="1:14" outlineLevel="1">
      <c r="B984" s="8"/>
      <c r="C984" s="8"/>
      <c r="D984" s="8"/>
      <c r="E984" s="8"/>
      <c r="F984" s="8"/>
      <c r="G984" s="116"/>
      <c r="H984" s="117"/>
      <c r="I984" s="118"/>
      <c r="J984" s="119"/>
      <c r="K984" s="116"/>
      <c r="L984" s="117"/>
      <c r="M984" s="118"/>
      <c r="N984" s="119"/>
    </row>
    <row r="985" spans="1:14" outlineLevel="1">
      <c r="A985" s="8"/>
      <c r="B985" s="62" t="s">
        <v>1198</v>
      </c>
      <c r="C985" s="62" t="s">
        <v>551</v>
      </c>
      <c r="D985" s="8"/>
      <c r="E985" s="8"/>
      <c r="F985" s="8"/>
      <c r="G985" s="116"/>
      <c r="H985" s="117"/>
      <c r="I985" s="118"/>
      <c r="J985" s="119"/>
      <c r="K985" s="116"/>
      <c r="L985" s="117"/>
      <c r="M985" s="118"/>
      <c r="N985" s="119"/>
    </row>
    <row r="986" spans="1:14" outlineLevel="1">
      <c r="B986" s="8"/>
      <c r="C986" s="264"/>
      <c r="D986" s="36" t="s">
        <v>108</v>
      </c>
      <c r="E986" s="36" t="s">
        <v>109</v>
      </c>
      <c r="F986" s="36" t="s">
        <v>110</v>
      </c>
      <c r="G986" s="116"/>
      <c r="H986" s="117"/>
      <c r="I986" s="118"/>
      <c r="J986" s="119"/>
      <c r="K986" s="116"/>
      <c r="L986" s="117"/>
      <c r="M986" s="118"/>
      <c r="N986" s="119"/>
    </row>
    <row r="987" spans="1:14" outlineLevel="1">
      <c r="B987" s="8"/>
      <c r="C987" s="264"/>
      <c r="D987" s="37"/>
      <c r="E987" s="88"/>
      <c r="F987" s="38"/>
      <c r="G987" s="116"/>
      <c r="H987" s="117"/>
      <c r="I987" s="118"/>
      <c r="J987" s="119"/>
      <c r="K987" s="116"/>
      <c r="L987" s="117"/>
      <c r="M987" s="118"/>
      <c r="N987" s="119"/>
    </row>
    <row r="988" spans="1:14" ht="15" customHeight="1" outlineLevel="2">
      <c r="A988" s="168"/>
      <c r="B988" s="522" t="b">
        <v>0</v>
      </c>
      <c r="C988" s="793" t="s">
        <v>991</v>
      </c>
      <c r="D988" s="793"/>
      <c r="E988" s="793"/>
      <c r="F988" s="8"/>
      <c r="G988" s="116"/>
      <c r="H988" s="117"/>
      <c r="I988" s="118"/>
      <c r="J988" s="119"/>
      <c r="K988" s="116"/>
      <c r="L988" s="117"/>
      <c r="M988" s="118"/>
      <c r="N988" s="119"/>
    </row>
    <row r="989" spans="1:14" outlineLevel="2">
      <c r="A989" s="168"/>
      <c r="B989" s="8"/>
      <c r="C989" s="793"/>
      <c r="D989" s="793"/>
      <c r="E989" s="793"/>
      <c r="F989" s="8"/>
      <c r="G989" s="116"/>
      <c r="H989" s="117"/>
      <c r="I989" s="118"/>
      <c r="J989" s="119"/>
      <c r="K989" s="116"/>
      <c r="L989" s="117"/>
      <c r="M989" s="118"/>
      <c r="N989" s="119"/>
    </row>
    <row r="990" spans="1:14" outlineLevel="2">
      <c r="A990" s="168"/>
      <c r="B990" s="8"/>
      <c r="C990" s="793"/>
      <c r="D990" s="793"/>
      <c r="E990" s="793"/>
      <c r="F990" s="8"/>
      <c r="G990" s="116"/>
      <c r="H990" s="117"/>
      <c r="I990" s="118"/>
      <c r="J990" s="119"/>
      <c r="K990" s="116"/>
      <c r="L990" s="117"/>
      <c r="M990" s="118"/>
      <c r="N990" s="119"/>
    </row>
    <row r="991" spans="1:14" outlineLevel="2">
      <c r="A991" s="168"/>
      <c r="B991" s="8"/>
      <c r="C991" s="266"/>
      <c r="D991" s="266"/>
      <c r="E991" s="266"/>
      <c r="F991" s="8"/>
      <c r="G991" s="116"/>
      <c r="H991" s="117"/>
      <c r="I991" s="118"/>
      <c r="J991" s="119"/>
      <c r="K991" s="116"/>
      <c r="L991" s="117"/>
      <c r="M991" s="118"/>
      <c r="N991" s="119"/>
    </row>
    <row r="992" spans="1:14" outlineLevel="2">
      <c r="B992" s="8"/>
      <c r="C992" s="536" t="s">
        <v>98</v>
      </c>
      <c r="D992" s="537"/>
      <c r="E992" s="537"/>
      <c r="F992" s="538"/>
      <c r="G992" s="116"/>
      <c r="H992" s="117"/>
      <c r="I992" s="118"/>
      <c r="J992" s="119"/>
      <c r="K992" s="116"/>
      <c r="L992" s="117"/>
      <c r="M992" s="118"/>
      <c r="N992" s="119"/>
    </row>
    <row r="993" spans="1:14" outlineLevel="2">
      <c r="B993" s="8"/>
      <c r="C993" s="539"/>
      <c r="D993" s="540"/>
      <c r="E993" s="540"/>
      <c r="F993" s="541"/>
      <c r="G993" s="116"/>
      <c r="H993" s="117"/>
      <c r="I993" s="118"/>
      <c r="J993" s="119"/>
      <c r="K993" s="116"/>
      <c r="L993" s="117"/>
      <c r="M993" s="118"/>
      <c r="N993" s="119"/>
    </row>
    <row r="994" spans="1:14" outlineLevel="2">
      <c r="B994" s="8"/>
      <c r="C994" s="539"/>
      <c r="D994" s="540"/>
      <c r="E994" s="540"/>
      <c r="F994" s="541"/>
      <c r="G994" s="116"/>
      <c r="H994" s="117"/>
      <c r="I994" s="118"/>
      <c r="J994" s="119"/>
      <c r="K994" s="116"/>
      <c r="L994" s="117"/>
      <c r="M994" s="118"/>
      <c r="N994" s="119"/>
    </row>
    <row r="995" spans="1:14" outlineLevel="2">
      <c r="B995" s="8"/>
      <c r="C995" s="542"/>
      <c r="D995" s="543"/>
      <c r="E995" s="543"/>
      <c r="F995" s="544"/>
      <c r="G995" s="116"/>
      <c r="H995" s="117"/>
      <c r="I995" s="118"/>
      <c r="J995" s="119"/>
      <c r="K995" s="116"/>
      <c r="L995" s="117"/>
      <c r="M995" s="118"/>
      <c r="N995" s="119"/>
    </row>
    <row r="996" spans="1:14" outlineLevel="2">
      <c r="B996" s="8"/>
      <c r="C996" s="8"/>
      <c r="D996" s="8"/>
      <c r="E996" s="8"/>
      <c r="F996" s="8"/>
      <c r="G996" s="116"/>
      <c r="H996" s="117"/>
      <c r="I996" s="118"/>
      <c r="J996" s="119"/>
      <c r="K996" s="116"/>
      <c r="L996" s="117"/>
      <c r="M996" s="118"/>
      <c r="N996" s="119"/>
    </row>
    <row r="997" spans="1:14" outlineLevel="1">
      <c r="B997" s="8"/>
      <c r="C997" s="8"/>
      <c r="D997" s="8"/>
      <c r="E997" s="8"/>
      <c r="F997" s="8"/>
      <c r="G997" s="116"/>
      <c r="H997" s="117"/>
      <c r="I997" s="118"/>
      <c r="J997" s="119"/>
      <c r="K997" s="116"/>
      <c r="L997" s="117"/>
      <c r="M997" s="118"/>
      <c r="N997" s="119"/>
    </row>
    <row r="998" spans="1:14">
      <c r="B998" s="8"/>
      <c r="C998" s="8"/>
      <c r="D998" s="8"/>
      <c r="E998" s="8"/>
      <c r="F998" s="8"/>
      <c r="G998" s="116"/>
      <c r="H998" s="117"/>
      <c r="I998" s="118"/>
      <c r="J998" s="119"/>
      <c r="K998" s="116"/>
      <c r="L998" s="117"/>
      <c r="M998" s="118"/>
      <c r="N998" s="119"/>
    </row>
    <row r="999" spans="1:14">
      <c r="G999" s="116"/>
      <c r="H999" s="117"/>
      <c r="I999" s="118"/>
      <c r="J999" s="119"/>
      <c r="K999" s="116"/>
      <c r="L999" s="117"/>
      <c r="M999" s="118"/>
      <c r="N999" s="119"/>
    </row>
    <row r="1000" spans="1:14" ht="21">
      <c r="A1000" s="10"/>
      <c r="B1000" s="45" t="s">
        <v>1203</v>
      </c>
      <c r="C1000" s="10"/>
      <c r="D1000" s="10"/>
      <c r="E1000" s="10"/>
      <c r="F1000" s="10"/>
      <c r="G1000" s="116"/>
      <c r="H1000" s="117"/>
      <c r="I1000" s="118"/>
      <c r="J1000" s="119"/>
      <c r="K1000" s="116"/>
      <c r="L1000" s="117"/>
      <c r="M1000" s="118"/>
      <c r="N1000" s="119"/>
    </row>
    <row r="1001" spans="1:14" outlineLevel="1">
      <c r="B1001" s="10"/>
      <c r="C1001" s="10"/>
      <c r="D1001" s="10"/>
      <c r="E1001" s="10"/>
      <c r="F1001" s="10"/>
      <c r="G1001" s="116"/>
      <c r="H1001" s="117"/>
      <c r="I1001" s="118"/>
      <c r="J1001" s="119"/>
      <c r="K1001" s="116"/>
      <c r="L1001" s="117"/>
      <c r="M1001" s="118"/>
      <c r="N1001" s="119"/>
    </row>
    <row r="1002" spans="1:14" ht="15.6" outlineLevel="1">
      <c r="A1002" s="10"/>
      <c r="B1002" s="383" t="s">
        <v>1200</v>
      </c>
      <c r="C1002" s="10"/>
      <c r="D1002" s="10"/>
      <c r="E1002" s="10"/>
      <c r="F1002" s="10"/>
      <c r="G1002" s="116"/>
      <c r="H1002" s="117"/>
      <c r="I1002" s="118"/>
      <c r="J1002" s="119"/>
      <c r="K1002" s="116"/>
      <c r="L1002" s="117"/>
      <c r="M1002" s="118"/>
      <c r="N1002" s="119"/>
    </row>
    <row r="1003" spans="1:14" outlineLevel="2">
      <c r="B1003" s="46" t="s">
        <v>1201</v>
      </c>
      <c r="C1003" s="46" t="s">
        <v>809</v>
      </c>
      <c r="D1003" s="10"/>
      <c r="E1003" s="10"/>
      <c r="F1003" s="10"/>
      <c r="G1003" s="116"/>
      <c r="H1003" s="117"/>
      <c r="I1003" s="118"/>
      <c r="J1003" s="119"/>
      <c r="K1003" s="116"/>
      <c r="L1003" s="117"/>
      <c r="M1003" s="118"/>
      <c r="N1003" s="119"/>
    </row>
    <row r="1004" spans="1:14" outlineLevel="2">
      <c r="B1004" s="10"/>
      <c r="C1004" s="10"/>
      <c r="D1004" s="36" t="s">
        <v>108</v>
      </c>
      <c r="E1004" s="36" t="s">
        <v>109</v>
      </c>
      <c r="F1004" s="36" t="s">
        <v>110</v>
      </c>
      <c r="G1004" s="116"/>
      <c r="H1004" s="117"/>
      <c r="I1004" s="118"/>
      <c r="J1004" s="119"/>
      <c r="K1004" s="116"/>
      <c r="L1004" s="117"/>
      <c r="M1004" s="118"/>
      <c r="N1004" s="119"/>
    </row>
    <row r="1005" spans="1:14" outlineLevel="2">
      <c r="B1005" s="10"/>
      <c r="C1005" s="10"/>
      <c r="D1005" s="37"/>
      <c r="E1005" s="88"/>
      <c r="F1005" s="38"/>
      <c r="G1005" s="116"/>
      <c r="H1005" s="117"/>
      <c r="I1005" s="118"/>
      <c r="J1005" s="119"/>
      <c r="K1005" s="116"/>
      <c r="L1005" s="117"/>
      <c r="M1005" s="118"/>
      <c r="N1005" s="119"/>
    </row>
    <row r="1006" spans="1:14" ht="14.85" customHeight="1" outlineLevel="2">
      <c r="B1006" s="10"/>
      <c r="C1006" s="584" t="s">
        <v>194</v>
      </c>
      <c r="D1006" s="584"/>
      <c r="E1006" s="584"/>
      <c r="F1006" s="10"/>
      <c r="G1006" s="116"/>
      <c r="H1006" s="117"/>
      <c r="I1006" s="118"/>
      <c r="J1006" s="119"/>
      <c r="K1006" s="116"/>
      <c r="L1006" s="117"/>
      <c r="M1006" s="118"/>
      <c r="N1006" s="119"/>
    </row>
    <row r="1007" spans="1:14" outlineLevel="2">
      <c r="B1007" s="10"/>
      <c r="C1007" s="584"/>
      <c r="D1007" s="584"/>
      <c r="E1007" s="584"/>
      <c r="F1007" s="10"/>
      <c r="G1007" s="116"/>
      <c r="H1007" s="117"/>
      <c r="I1007" s="118"/>
      <c r="J1007" s="119"/>
      <c r="K1007" s="116"/>
      <c r="L1007" s="117"/>
      <c r="M1007" s="118"/>
      <c r="N1007" s="119"/>
    </row>
    <row r="1008" spans="1:14" outlineLevel="2">
      <c r="B1008" s="10"/>
      <c r="C1008" s="584"/>
      <c r="D1008" s="584"/>
      <c r="E1008" s="584"/>
      <c r="F1008" s="10"/>
      <c r="G1008" s="116"/>
      <c r="H1008" s="117"/>
      <c r="I1008" s="118"/>
      <c r="J1008" s="119"/>
      <c r="K1008" s="116"/>
      <c r="L1008" s="117"/>
      <c r="M1008" s="118"/>
      <c r="N1008" s="119"/>
    </row>
    <row r="1009" spans="1:14" outlineLevel="2">
      <c r="B1009" s="10"/>
      <c r="C1009" s="10"/>
      <c r="D1009" s="10"/>
      <c r="E1009" s="10"/>
      <c r="F1009" s="10"/>
      <c r="G1009" s="116"/>
      <c r="H1009" s="117"/>
      <c r="I1009" s="118"/>
      <c r="J1009" s="119"/>
      <c r="K1009" s="116"/>
      <c r="L1009" s="117"/>
      <c r="M1009" s="118"/>
      <c r="N1009" s="119"/>
    </row>
    <row r="1010" spans="1:14" outlineLevel="2">
      <c r="B1010" s="46" t="s">
        <v>1202</v>
      </c>
      <c r="C1010" s="46" t="s">
        <v>811</v>
      </c>
      <c r="D1010" s="10"/>
      <c r="E1010" s="10"/>
      <c r="F1010" s="10"/>
      <c r="G1010" s="116"/>
      <c r="H1010" s="117"/>
      <c r="I1010" s="118"/>
      <c r="J1010" s="119"/>
      <c r="K1010" s="116"/>
      <c r="L1010" s="117"/>
      <c r="M1010" s="118"/>
      <c r="N1010" s="119"/>
    </row>
    <row r="1011" spans="1:14" outlineLevel="2">
      <c r="B1011" s="10"/>
      <c r="C1011" s="10"/>
      <c r="D1011" s="36" t="s">
        <v>108</v>
      </c>
      <c r="E1011" s="36" t="s">
        <v>109</v>
      </c>
      <c r="F1011" s="36" t="s">
        <v>110</v>
      </c>
      <c r="G1011" s="116"/>
      <c r="H1011" s="117"/>
      <c r="I1011" s="118"/>
      <c r="J1011" s="119"/>
      <c r="K1011" s="116"/>
      <c r="L1011" s="117"/>
      <c r="M1011" s="118"/>
      <c r="N1011" s="119"/>
    </row>
    <row r="1012" spans="1:14" outlineLevel="2">
      <c r="B1012" s="10"/>
      <c r="C1012" s="10"/>
      <c r="D1012" s="37"/>
      <c r="E1012" s="88"/>
      <c r="F1012" s="38"/>
      <c r="G1012" s="116"/>
      <c r="H1012" s="117"/>
      <c r="I1012" s="118"/>
      <c r="J1012" s="119"/>
      <c r="K1012" s="116"/>
      <c r="L1012" s="117"/>
      <c r="M1012" s="118"/>
      <c r="N1012" s="119"/>
    </row>
    <row r="1013" spans="1:14" ht="14.85" customHeight="1" outlineLevel="2">
      <c r="B1013" s="10"/>
      <c r="C1013" s="584" t="s">
        <v>194</v>
      </c>
      <c r="D1013" s="584"/>
      <c r="E1013" s="584"/>
      <c r="F1013" s="10"/>
      <c r="G1013" s="116"/>
      <c r="H1013" s="117"/>
      <c r="I1013" s="118"/>
      <c r="J1013" s="119"/>
      <c r="K1013" s="116"/>
      <c r="L1013" s="117"/>
      <c r="M1013" s="118"/>
      <c r="N1013" s="119"/>
    </row>
    <row r="1014" spans="1:14" outlineLevel="2">
      <c r="B1014" s="10"/>
      <c r="C1014" s="584"/>
      <c r="D1014" s="584"/>
      <c r="E1014" s="584"/>
      <c r="F1014" s="10"/>
      <c r="G1014" s="116"/>
      <c r="H1014" s="117"/>
      <c r="I1014" s="118"/>
      <c r="J1014" s="119"/>
      <c r="K1014" s="116"/>
      <c r="L1014" s="117"/>
      <c r="M1014" s="118"/>
      <c r="N1014" s="119"/>
    </row>
    <row r="1015" spans="1:14" outlineLevel="2">
      <c r="B1015" s="10"/>
      <c r="C1015" s="584"/>
      <c r="D1015" s="584"/>
      <c r="E1015" s="584"/>
      <c r="F1015" s="10"/>
      <c r="G1015" s="116"/>
      <c r="H1015" s="117"/>
      <c r="I1015" s="118"/>
      <c r="J1015" s="119"/>
      <c r="K1015" s="116"/>
      <c r="L1015" s="117"/>
      <c r="M1015" s="118"/>
      <c r="N1015" s="119"/>
    </row>
    <row r="1016" spans="1:14" outlineLevel="2">
      <c r="B1016" s="10"/>
      <c r="C1016" s="10"/>
      <c r="D1016" s="10"/>
      <c r="E1016" s="10"/>
      <c r="F1016" s="10"/>
      <c r="G1016" s="116"/>
      <c r="H1016" s="117"/>
      <c r="I1016" s="118"/>
      <c r="J1016" s="119"/>
      <c r="K1016" s="116"/>
      <c r="L1016" s="117"/>
      <c r="M1016" s="118"/>
      <c r="N1016" s="119"/>
    </row>
    <row r="1017" spans="1:14" outlineLevel="2">
      <c r="B1017" s="10"/>
      <c r="C1017" s="536" t="s">
        <v>98</v>
      </c>
      <c r="D1017" s="537"/>
      <c r="E1017" s="537"/>
      <c r="F1017" s="538"/>
      <c r="G1017" s="116"/>
      <c r="H1017" s="117"/>
      <c r="I1017" s="118"/>
      <c r="J1017" s="119"/>
      <c r="K1017" s="116"/>
      <c r="L1017" s="117"/>
      <c r="M1017" s="118"/>
      <c r="N1017" s="119"/>
    </row>
    <row r="1018" spans="1:14" outlineLevel="2">
      <c r="B1018" s="10"/>
      <c r="C1018" s="539"/>
      <c r="D1018" s="540"/>
      <c r="E1018" s="540"/>
      <c r="F1018" s="541"/>
      <c r="G1018" s="116"/>
      <c r="H1018" s="117"/>
      <c r="I1018" s="118"/>
      <c r="J1018" s="119"/>
      <c r="K1018" s="116"/>
      <c r="L1018" s="117"/>
      <c r="M1018" s="118"/>
      <c r="N1018" s="119"/>
    </row>
    <row r="1019" spans="1:14" outlineLevel="2">
      <c r="B1019" s="10"/>
      <c r="C1019" s="539"/>
      <c r="D1019" s="540"/>
      <c r="E1019" s="540"/>
      <c r="F1019" s="541"/>
      <c r="G1019" s="116"/>
      <c r="H1019" s="117"/>
      <c r="I1019" s="118"/>
      <c r="J1019" s="119"/>
      <c r="K1019" s="116"/>
      <c r="L1019" s="117"/>
      <c r="M1019" s="118"/>
      <c r="N1019" s="119"/>
    </row>
    <row r="1020" spans="1:14" outlineLevel="2">
      <c r="B1020" s="10"/>
      <c r="C1020" s="542"/>
      <c r="D1020" s="543"/>
      <c r="E1020" s="543"/>
      <c r="F1020" s="544"/>
      <c r="G1020" s="116"/>
      <c r="H1020" s="117"/>
      <c r="I1020" s="118"/>
      <c r="J1020" s="119"/>
      <c r="K1020" s="116"/>
      <c r="L1020" s="117"/>
      <c r="M1020" s="118"/>
      <c r="N1020" s="119"/>
    </row>
    <row r="1021" spans="1:14" outlineLevel="2">
      <c r="B1021" s="10"/>
      <c r="C1021" s="10"/>
      <c r="D1021" s="10"/>
      <c r="E1021" s="10"/>
      <c r="F1021" s="10"/>
      <c r="G1021" s="116"/>
      <c r="H1021" s="117"/>
      <c r="I1021" s="118"/>
      <c r="J1021" s="119"/>
      <c r="K1021" s="116"/>
      <c r="L1021" s="117"/>
      <c r="M1021" s="118"/>
      <c r="N1021" s="119"/>
    </row>
    <row r="1022" spans="1:14" outlineLevel="1">
      <c r="B1022" s="9"/>
      <c r="C1022" s="9"/>
      <c r="D1022" s="9"/>
      <c r="E1022" s="9"/>
      <c r="F1022" s="9"/>
      <c r="G1022" s="116"/>
      <c r="H1022" s="117"/>
      <c r="I1022" s="118"/>
      <c r="J1022" s="119"/>
      <c r="K1022" s="116"/>
      <c r="L1022" s="117"/>
      <c r="M1022" s="118"/>
      <c r="N1022" s="119"/>
    </row>
    <row r="1023" spans="1:14" ht="15.6" customHeight="1" outlineLevel="1">
      <c r="A1023" s="9"/>
      <c r="B1023" s="316" t="s">
        <v>1204</v>
      </c>
      <c r="C1023" s="9"/>
      <c r="D1023" s="9"/>
      <c r="E1023" s="9"/>
      <c r="F1023" s="9"/>
      <c r="G1023" s="116"/>
      <c r="H1023" s="117"/>
      <c r="I1023" s="118"/>
      <c r="J1023" s="119"/>
      <c r="K1023" s="116"/>
      <c r="L1023" s="117"/>
      <c r="M1023" s="118"/>
      <c r="N1023" s="119"/>
    </row>
    <row r="1024" spans="1:14" outlineLevel="2">
      <c r="B1024" s="61" t="s">
        <v>1206</v>
      </c>
      <c r="C1024" s="61" t="s">
        <v>809</v>
      </c>
      <c r="D1024" s="9"/>
      <c r="E1024" s="9"/>
      <c r="F1024" s="9"/>
      <c r="G1024" s="116"/>
      <c r="H1024" s="117"/>
      <c r="I1024" s="118"/>
      <c r="J1024" s="119"/>
      <c r="K1024" s="116"/>
      <c r="L1024" s="117"/>
      <c r="M1024" s="118"/>
      <c r="N1024" s="119"/>
    </row>
    <row r="1025" spans="1:14" ht="14.85" customHeight="1" outlineLevel="2">
      <c r="B1025" s="9"/>
      <c r="C1025" s="9"/>
      <c r="D1025" s="36" t="s">
        <v>108</v>
      </c>
      <c r="E1025" s="36" t="s">
        <v>109</v>
      </c>
      <c r="F1025" s="36" t="s">
        <v>110</v>
      </c>
      <c r="G1025" s="116"/>
      <c r="H1025" s="117"/>
      <c r="I1025" s="118"/>
      <c r="J1025" s="119"/>
      <c r="K1025" s="116"/>
      <c r="L1025" s="117"/>
      <c r="M1025" s="118"/>
      <c r="N1025" s="119"/>
    </row>
    <row r="1026" spans="1:14" outlineLevel="2">
      <c r="B1026" s="9"/>
      <c r="C1026" s="9"/>
      <c r="D1026" s="37"/>
      <c r="E1026" s="88"/>
      <c r="F1026" s="38"/>
      <c r="G1026" s="116"/>
      <c r="H1026" s="117"/>
      <c r="I1026" s="118"/>
      <c r="J1026" s="119"/>
      <c r="K1026" s="116"/>
      <c r="L1026" s="117"/>
      <c r="M1026" s="118"/>
      <c r="N1026" s="119"/>
    </row>
    <row r="1027" spans="1:14" ht="14.85" customHeight="1" outlineLevel="2">
      <c r="B1027" s="9"/>
      <c r="C1027" s="594" t="s">
        <v>194</v>
      </c>
      <c r="D1027" s="594"/>
      <c r="E1027" s="594"/>
      <c r="F1027" s="9"/>
      <c r="G1027" s="116"/>
      <c r="H1027" s="117"/>
      <c r="I1027" s="118"/>
      <c r="J1027" s="119"/>
      <c r="K1027" s="116"/>
      <c r="L1027" s="117"/>
      <c r="M1027" s="118"/>
      <c r="N1027" s="119"/>
    </row>
    <row r="1028" spans="1:14" outlineLevel="2">
      <c r="B1028" s="9"/>
      <c r="C1028" s="594"/>
      <c r="D1028" s="594"/>
      <c r="E1028" s="594"/>
      <c r="F1028" s="9"/>
      <c r="G1028" s="116"/>
      <c r="H1028" s="117"/>
      <c r="I1028" s="118"/>
      <c r="J1028" s="119"/>
      <c r="K1028" s="116"/>
      <c r="L1028" s="117"/>
      <c r="M1028" s="118"/>
      <c r="N1028" s="119"/>
    </row>
    <row r="1029" spans="1:14" ht="14.85" customHeight="1" outlineLevel="2">
      <c r="B1029" s="9"/>
      <c r="C1029" s="594"/>
      <c r="D1029" s="594"/>
      <c r="E1029" s="594"/>
      <c r="F1029" s="9"/>
      <c r="G1029" s="116"/>
      <c r="H1029" s="117"/>
      <c r="I1029" s="118"/>
      <c r="J1029" s="119"/>
      <c r="K1029" s="116"/>
      <c r="L1029" s="117"/>
      <c r="M1029" s="118"/>
      <c r="N1029" s="119"/>
    </row>
    <row r="1030" spans="1:14" outlineLevel="2">
      <c r="B1030" s="9"/>
      <c r="C1030" s="9"/>
      <c r="D1030" s="9"/>
      <c r="E1030" s="9"/>
      <c r="F1030" s="9"/>
      <c r="G1030" s="116"/>
      <c r="H1030" s="117"/>
      <c r="I1030" s="118"/>
      <c r="J1030" s="119"/>
      <c r="K1030" s="116"/>
      <c r="L1030" s="117"/>
      <c r="M1030" s="118"/>
      <c r="N1030" s="119"/>
    </row>
    <row r="1031" spans="1:14" ht="14.85" customHeight="1" outlineLevel="2">
      <c r="A1031" s="9"/>
      <c r="B1031" s="61" t="s">
        <v>1207</v>
      </c>
      <c r="C1031" s="61" t="s">
        <v>812</v>
      </c>
      <c r="D1031" s="9"/>
      <c r="E1031" s="9"/>
      <c r="F1031" s="9"/>
      <c r="G1031" s="116"/>
      <c r="H1031" s="117"/>
      <c r="I1031" s="118"/>
      <c r="J1031" s="119"/>
      <c r="K1031" s="116"/>
      <c r="L1031" s="117"/>
      <c r="M1031" s="118"/>
      <c r="N1031" s="119"/>
    </row>
    <row r="1032" spans="1:14" outlineLevel="2">
      <c r="B1032" s="9"/>
      <c r="C1032" s="9"/>
      <c r="D1032" s="36" t="s">
        <v>108</v>
      </c>
      <c r="E1032" s="36" t="s">
        <v>109</v>
      </c>
      <c r="F1032" s="36" t="s">
        <v>110</v>
      </c>
      <c r="G1032" s="116"/>
      <c r="H1032" s="117"/>
      <c r="I1032" s="118"/>
      <c r="J1032" s="119"/>
      <c r="K1032" s="116"/>
      <c r="L1032" s="117"/>
      <c r="M1032" s="118"/>
      <c r="N1032" s="119"/>
    </row>
    <row r="1033" spans="1:14" ht="14.85" customHeight="1" outlineLevel="2">
      <c r="B1033" s="9"/>
      <c r="C1033" s="9"/>
      <c r="D1033" s="37"/>
      <c r="E1033" s="88"/>
      <c r="F1033" s="38"/>
      <c r="G1033" s="116"/>
      <c r="H1033" s="117"/>
      <c r="I1033" s="118"/>
      <c r="J1033" s="119"/>
      <c r="K1033" s="116"/>
      <c r="L1033" s="117"/>
      <c r="M1033" s="118"/>
      <c r="N1033" s="119"/>
    </row>
    <row r="1034" spans="1:14" ht="14.85" customHeight="1" outlineLevel="2">
      <c r="B1034" s="9"/>
      <c r="C1034" s="594" t="s">
        <v>194</v>
      </c>
      <c r="D1034" s="594"/>
      <c r="E1034" s="594"/>
      <c r="F1034" s="9"/>
      <c r="G1034" s="116"/>
      <c r="H1034" s="117"/>
      <c r="I1034" s="118"/>
      <c r="J1034" s="119"/>
      <c r="K1034" s="116"/>
      <c r="L1034" s="117"/>
      <c r="M1034" s="118"/>
      <c r="N1034" s="119"/>
    </row>
    <row r="1035" spans="1:14" outlineLevel="2">
      <c r="B1035" s="9"/>
      <c r="C1035" s="594"/>
      <c r="D1035" s="594"/>
      <c r="E1035" s="594"/>
      <c r="F1035" s="9"/>
      <c r="G1035" s="116"/>
      <c r="H1035" s="117"/>
      <c r="I1035" s="118"/>
      <c r="J1035" s="119"/>
      <c r="K1035" s="116"/>
      <c r="L1035" s="117"/>
      <c r="M1035" s="118"/>
      <c r="N1035" s="119"/>
    </row>
    <row r="1036" spans="1:14" outlineLevel="2">
      <c r="B1036" s="9"/>
      <c r="C1036" s="594"/>
      <c r="D1036" s="594"/>
      <c r="E1036" s="594"/>
      <c r="F1036" s="9"/>
      <c r="G1036" s="116"/>
      <c r="H1036" s="117"/>
      <c r="I1036" s="118"/>
      <c r="J1036" s="119"/>
      <c r="K1036" s="116"/>
      <c r="L1036" s="117"/>
      <c r="M1036" s="118"/>
      <c r="N1036" s="119"/>
    </row>
    <row r="1037" spans="1:14" outlineLevel="2">
      <c r="B1037" s="9"/>
      <c r="C1037" s="9"/>
      <c r="D1037" s="9"/>
      <c r="E1037" s="9"/>
      <c r="F1037" s="9"/>
      <c r="G1037" s="116"/>
      <c r="H1037" s="117"/>
      <c r="I1037" s="118"/>
      <c r="J1037" s="119"/>
      <c r="K1037" s="116"/>
      <c r="L1037" s="117"/>
      <c r="M1037" s="118"/>
      <c r="N1037" s="119"/>
    </row>
    <row r="1038" spans="1:14" outlineLevel="2">
      <c r="A1038" s="9"/>
      <c r="B1038" s="61" t="s">
        <v>1212</v>
      </c>
      <c r="C1038" s="61" t="s">
        <v>813</v>
      </c>
      <c r="D1038" s="9"/>
      <c r="E1038" s="9"/>
      <c r="F1038" s="9"/>
      <c r="G1038" s="116"/>
      <c r="H1038" s="117"/>
      <c r="I1038" s="118"/>
      <c r="J1038" s="119"/>
      <c r="K1038" s="116"/>
      <c r="L1038" s="117"/>
      <c r="M1038" s="118"/>
      <c r="N1038" s="119"/>
    </row>
    <row r="1039" spans="1:14" outlineLevel="2">
      <c r="B1039" s="9"/>
      <c r="C1039" s="9"/>
      <c r="D1039" s="36" t="s">
        <v>108</v>
      </c>
      <c r="E1039" s="36" t="s">
        <v>109</v>
      </c>
      <c r="F1039" s="36" t="s">
        <v>110</v>
      </c>
      <c r="G1039" s="116"/>
      <c r="H1039" s="117"/>
      <c r="I1039" s="118"/>
      <c r="J1039" s="119"/>
      <c r="K1039" s="116"/>
      <c r="L1039" s="117"/>
      <c r="M1039" s="118"/>
      <c r="N1039" s="119"/>
    </row>
    <row r="1040" spans="1:14" outlineLevel="2">
      <c r="B1040" s="9"/>
      <c r="C1040" s="9"/>
      <c r="D1040" s="37"/>
      <c r="E1040" s="88"/>
      <c r="F1040" s="38"/>
      <c r="G1040" s="116"/>
      <c r="H1040" s="117"/>
      <c r="I1040" s="118"/>
      <c r="J1040" s="119"/>
      <c r="K1040" s="116"/>
      <c r="L1040" s="117"/>
      <c r="M1040" s="118"/>
      <c r="N1040" s="119"/>
    </row>
    <row r="1041" spans="1:14" ht="14.85" customHeight="1" outlineLevel="2">
      <c r="B1041" s="9"/>
      <c r="C1041" s="594" t="s">
        <v>194</v>
      </c>
      <c r="D1041" s="594"/>
      <c r="E1041" s="594"/>
      <c r="F1041" s="9"/>
      <c r="G1041" s="116"/>
      <c r="H1041" s="117"/>
      <c r="I1041" s="118"/>
      <c r="J1041" s="119"/>
      <c r="K1041" s="116"/>
      <c r="L1041" s="117"/>
      <c r="M1041" s="118"/>
      <c r="N1041" s="119"/>
    </row>
    <row r="1042" spans="1:14" outlineLevel="2">
      <c r="B1042" s="9"/>
      <c r="C1042" s="594"/>
      <c r="D1042" s="594"/>
      <c r="E1042" s="594"/>
      <c r="F1042" s="9"/>
      <c r="G1042" s="116"/>
      <c r="H1042" s="117"/>
      <c r="I1042" s="118"/>
      <c r="J1042" s="119"/>
      <c r="K1042" s="116"/>
      <c r="L1042" s="117"/>
      <c r="M1042" s="118"/>
      <c r="N1042" s="119"/>
    </row>
    <row r="1043" spans="1:14" outlineLevel="2">
      <c r="B1043" s="9"/>
      <c r="C1043" s="594"/>
      <c r="D1043" s="594"/>
      <c r="E1043" s="594"/>
      <c r="F1043" s="9"/>
      <c r="G1043" s="116"/>
      <c r="H1043" s="117"/>
      <c r="I1043" s="118"/>
      <c r="J1043" s="119"/>
      <c r="K1043" s="116"/>
      <c r="L1043" s="117"/>
      <c r="M1043" s="118"/>
      <c r="N1043" s="119"/>
    </row>
    <row r="1044" spans="1:14" outlineLevel="2">
      <c r="B1044" s="9"/>
      <c r="C1044" s="9"/>
      <c r="D1044" s="9"/>
      <c r="E1044" s="9"/>
      <c r="F1044" s="9"/>
      <c r="G1044" s="116"/>
      <c r="H1044" s="117"/>
      <c r="I1044" s="118"/>
      <c r="J1044" s="119"/>
      <c r="K1044" s="116"/>
      <c r="L1044" s="117"/>
      <c r="M1044" s="118"/>
      <c r="N1044" s="119"/>
    </row>
    <row r="1045" spans="1:14" outlineLevel="2">
      <c r="B1045" s="9"/>
      <c r="C1045" s="536" t="s">
        <v>98</v>
      </c>
      <c r="D1045" s="537"/>
      <c r="E1045" s="537"/>
      <c r="F1045" s="538"/>
      <c r="G1045" s="116"/>
      <c r="H1045" s="117"/>
      <c r="I1045" s="118"/>
      <c r="J1045" s="119"/>
      <c r="K1045" s="116"/>
      <c r="L1045" s="117"/>
      <c r="M1045" s="118"/>
      <c r="N1045" s="119"/>
    </row>
    <row r="1046" spans="1:14" outlineLevel="2">
      <c r="B1046" s="9"/>
      <c r="C1046" s="539"/>
      <c r="D1046" s="540"/>
      <c r="E1046" s="540"/>
      <c r="F1046" s="541"/>
      <c r="G1046" s="116"/>
      <c r="H1046" s="117"/>
      <c r="I1046" s="118"/>
      <c r="J1046" s="119"/>
      <c r="K1046" s="116"/>
      <c r="L1046" s="117"/>
      <c r="M1046" s="118"/>
      <c r="N1046" s="119"/>
    </row>
    <row r="1047" spans="1:14" outlineLevel="2">
      <c r="B1047" s="9"/>
      <c r="C1047" s="539"/>
      <c r="D1047" s="540"/>
      <c r="E1047" s="540"/>
      <c r="F1047" s="541"/>
      <c r="G1047" s="116"/>
      <c r="H1047" s="117"/>
      <c r="I1047" s="118"/>
      <c r="J1047" s="119"/>
      <c r="K1047" s="116"/>
      <c r="L1047" s="117"/>
      <c r="M1047" s="118"/>
      <c r="N1047" s="119"/>
    </row>
    <row r="1048" spans="1:14" outlineLevel="2">
      <c r="B1048" s="9"/>
      <c r="C1048" s="542"/>
      <c r="D1048" s="543"/>
      <c r="E1048" s="543"/>
      <c r="F1048" s="544"/>
      <c r="G1048" s="116"/>
      <c r="H1048" s="117"/>
      <c r="I1048" s="118"/>
      <c r="J1048" s="119"/>
      <c r="K1048" s="116"/>
      <c r="L1048" s="117"/>
      <c r="M1048" s="118"/>
      <c r="N1048" s="119"/>
    </row>
    <row r="1049" spans="1:14" outlineLevel="2">
      <c r="B1049" s="9"/>
      <c r="C1049" s="9"/>
      <c r="D1049" s="9"/>
      <c r="E1049" s="9"/>
      <c r="F1049" s="9"/>
      <c r="G1049" s="116"/>
      <c r="H1049" s="117"/>
      <c r="I1049" s="118"/>
      <c r="J1049" s="119"/>
      <c r="K1049" s="116"/>
      <c r="L1049" s="117"/>
      <c r="M1049" s="118"/>
      <c r="N1049" s="119"/>
    </row>
    <row r="1050" spans="1:14" outlineLevel="2">
      <c r="B1050" s="9"/>
      <c r="C1050" s="9"/>
      <c r="D1050" s="9"/>
      <c r="E1050" s="9"/>
      <c r="F1050" s="9"/>
      <c r="G1050" s="116"/>
      <c r="H1050" s="117"/>
      <c r="I1050" s="118"/>
      <c r="J1050" s="119"/>
      <c r="K1050" s="116"/>
      <c r="L1050" s="117"/>
      <c r="M1050" s="118"/>
      <c r="N1050" s="119"/>
    </row>
    <row r="1051" spans="1:14" outlineLevel="1">
      <c r="B1051" s="9"/>
      <c r="C1051" s="9"/>
      <c r="D1051" s="9"/>
      <c r="E1051" s="9"/>
      <c r="F1051" s="9"/>
      <c r="G1051" s="116"/>
      <c r="H1051" s="117"/>
      <c r="I1051" s="118"/>
      <c r="J1051" s="119"/>
      <c r="K1051" s="116"/>
      <c r="L1051" s="117"/>
      <c r="M1051" s="118"/>
      <c r="N1051" s="119"/>
    </row>
    <row r="1052" spans="1:14">
      <c r="B1052" s="10"/>
      <c r="C1052" s="10"/>
      <c r="D1052" s="10"/>
      <c r="E1052" s="10"/>
      <c r="F1052" s="10"/>
      <c r="G1052" s="116"/>
      <c r="H1052" s="117"/>
      <c r="I1052" s="118"/>
      <c r="J1052" s="119"/>
      <c r="K1052" s="116"/>
      <c r="L1052" s="117"/>
      <c r="M1052" s="118"/>
      <c r="N1052" s="119"/>
    </row>
    <row r="1053" spans="1:14">
      <c r="G1053" s="116"/>
      <c r="H1053" s="117"/>
      <c r="I1053" s="118"/>
      <c r="J1053" s="119"/>
      <c r="K1053" s="116"/>
      <c r="L1053" s="117"/>
      <c r="M1053" s="118"/>
      <c r="N1053" s="119"/>
    </row>
    <row r="1054" spans="1:14" ht="21">
      <c r="A1054" s="19"/>
      <c r="B1054" s="51" t="s">
        <v>835</v>
      </c>
      <c r="C1054" s="19"/>
      <c r="D1054" s="19"/>
      <c r="E1054" s="19"/>
      <c r="F1054" s="19"/>
      <c r="G1054" s="116"/>
      <c r="H1054" s="117"/>
      <c r="I1054" s="118"/>
      <c r="J1054" s="119"/>
      <c r="K1054" s="116"/>
      <c r="L1054" s="117"/>
      <c r="M1054" s="118"/>
      <c r="N1054" s="119"/>
    </row>
    <row r="1055" spans="1:14" outlineLevel="1">
      <c r="B1055" s="19"/>
      <c r="C1055" s="19"/>
      <c r="D1055" s="36" t="s">
        <v>108</v>
      </c>
      <c r="E1055" s="36" t="s">
        <v>109</v>
      </c>
      <c r="F1055" s="36" t="s">
        <v>110</v>
      </c>
      <c r="G1055" s="116"/>
      <c r="H1055" s="117"/>
      <c r="I1055" s="118"/>
      <c r="J1055" s="119"/>
      <c r="K1055" s="116"/>
      <c r="L1055" s="117"/>
      <c r="M1055" s="118"/>
      <c r="N1055" s="119"/>
    </row>
    <row r="1056" spans="1:14" outlineLevel="1">
      <c r="B1056" s="19"/>
      <c r="C1056" s="19"/>
      <c r="D1056" s="37"/>
      <c r="E1056" s="37"/>
      <c r="F1056" s="38"/>
      <c r="G1056" s="116"/>
      <c r="H1056" s="117"/>
      <c r="I1056" s="118"/>
      <c r="J1056" s="119"/>
      <c r="K1056" s="116"/>
      <c r="L1056" s="117"/>
      <c r="M1056" s="118"/>
      <c r="N1056" s="119"/>
    </row>
    <row r="1057" spans="1:14" ht="15" outlineLevel="1" thickBot="1">
      <c r="B1057" s="19"/>
      <c r="C1057" s="19"/>
      <c r="D1057" s="19"/>
      <c r="E1057" s="19"/>
      <c r="F1057" s="19"/>
      <c r="G1057" s="116"/>
      <c r="H1057" s="117"/>
      <c r="I1057" s="118"/>
      <c r="J1057" s="119"/>
      <c r="K1057" s="116"/>
      <c r="L1057" s="117"/>
      <c r="M1057" s="118"/>
      <c r="N1057" s="119"/>
    </row>
    <row r="1058" spans="1:14" outlineLevel="1">
      <c r="B1058" s="19"/>
      <c r="C1058" s="618" t="e">
        <f>IF(#REF!=FALSE,"RELLENAR INFORMACIÓN SOBRE IMPACTOS","")</f>
        <v>#REF!</v>
      </c>
      <c r="D1058" s="725" t="s">
        <v>631</v>
      </c>
      <c r="E1058" s="726"/>
      <c r="F1058" s="58" t="s">
        <v>629</v>
      </c>
      <c r="G1058" s="388"/>
      <c r="H1058" s="388"/>
      <c r="I1058" s="388"/>
      <c r="J1058" s="388"/>
      <c r="K1058" s="388"/>
      <c r="L1058" s="388"/>
      <c r="M1058" s="388"/>
      <c r="N1058" s="389"/>
    </row>
    <row r="1059" spans="1:14" ht="15" outlineLevel="1" thickBot="1">
      <c r="B1059" s="19"/>
      <c r="C1059" s="618"/>
      <c r="D1059" s="727"/>
      <c r="E1059" s="728"/>
      <c r="F1059" s="60" t="s">
        <v>630</v>
      </c>
      <c r="G1059" s="387"/>
      <c r="H1059" s="387"/>
      <c r="I1059" s="387"/>
      <c r="J1059" s="387"/>
      <c r="K1059" s="387"/>
      <c r="L1059" s="387"/>
      <c r="M1059" s="387"/>
      <c r="N1059" s="390"/>
    </row>
    <row r="1060" spans="1:14" outlineLevel="1">
      <c r="B1060" s="19"/>
      <c r="C1060" s="618"/>
      <c r="D1060" s="727"/>
      <c r="E1060" s="728"/>
      <c r="F1060" s="58" t="s">
        <v>629</v>
      </c>
      <c r="G1060" s="387"/>
      <c r="H1060" s="387"/>
      <c r="I1060" s="387"/>
      <c r="J1060" s="387"/>
      <c r="K1060" s="387"/>
      <c r="L1060" s="387"/>
      <c r="M1060" s="387"/>
      <c r="N1060" s="390"/>
    </row>
    <row r="1061" spans="1:14" ht="15" outlineLevel="1" thickBot="1">
      <c r="B1061" s="19"/>
      <c r="C1061" s="618"/>
      <c r="D1061" s="727"/>
      <c r="E1061" s="728"/>
      <c r="F1061" s="60" t="s">
        <v>630</v>
      </c>
      <c r="G1061" s="387"/>
      <c r="H1061" s="387"/>
      <c r="I1061" s="387"/>
      <c r="J1061" s="387"/>
      <c r="K1061" s="387"/>
      <c r="L1061" s="387"/>
      <c r="M1061" s="387"/>
      <c r="N1061" s="390"/>
    </row>
    <row r="1062" spans="1:14" outlineLevel="1">
      <c r="B1062" s="19"/>
      <c r="C1062" s="618"/>
      <c r="D1062" s="727"/>
      <c r="E1062" s="728"/>
      <c r="F1062" s="58" t="s">
        <v>629</v>
      </c>
      <c r="G1062" s="387"/>
      <c r="H1062" s="387"/>
      <c r="I1062" s="387"/>
      <c r="J1062" s="387"/>
      <c r="K1062" s="387"/>
      <c r="L1062" s="387"/>
      <c r="M1062" s="387"/>
      <c r="N1062" s="390"/>
    </row>
    <row r="1063" spans="1:14" ht="15" outlineLevel="1" thickBot="1">
      <c r="B1063" s="19"/>
      <c r="C1063" s="618"/>
      <c r="D1063" s="729"/>
      <c r="E1063" s="730"/>
      <c r="F1063" s="60" t="s">
        <v>630</v>
      </c>
      <c r="G1063" s="391"/>
      <c r="H1063" s="391"/>
      <c r="I1063" s="391"/>
      <c r="J1063" s="391"/>
      <c r="K1063" s="391"/>
      <c r="L1063" s="391"/>
      <c r="M1063" s="391"/>
      <c r="N1063" s="392"/>
    </row>
    <row r="1064" spans="1:14" ht="15" outlineLevel="1" thickBot="1">
      <c r="B1064" s="19"/>
      <c r="C1064" s="19"/>
      <c r="D1064" s="19"/>
      <c r="E1064" s="19"/>
      <c r="F1064" s="19"/>
      <c r="G1064" s="116"/>
      <c r="H1064" s="117"/>
      <c r="I1064" s="118"/>
      <c r="J1064" s="119"/>
      <c r="K1064" s="116"/>
      <c r="L1064" s="117"/>
      <c r="M1064" s="118"/>
      <c r="N1064" s="119"/>
    </row>
    <row r="1065" spans="1:14" outlineLevel="1">
      <c r="B1065" s="19"/>
      <c r="C1065" s="731" t="e">
        <f>IF(#REF!=FALSE,"RELLENAR RESULTADO OBTENIDO","")</f>
        <v>#REF!</v>
      </c>
      <c r="D1065" s="725" t="s">
        <v>633</v>
      </c>
      <c r="E1065" s="732"/>
      <c r="F1065" s="314" t="s">
        <v>836</v>
      </c>
      <c r="G1065" s="388"/>
      <c r="H1065" s="388"/>
      <c r="I1065" s="388"/>
      <c r="J1065" s="388"/>
      <c r="K1065" s="388"/>
      <c r="L1065" s="388"/>
      <c r="M1065" s="388"/>
      <c r="N1065" s="389"/>
    </row>
    <row r="1066" spans="1:14" ht="15" outlineLevel="1" thickBot="1">
      <c r="B1066" s="19"/>
      <c r="C1066" s="731"/>
      <c r="D1066" s="729"/>
      <c r="E1066" s="733"/>
      <c r="F1066" s="384" t="s">
        <v>837</v>
      </c>
      <c r="G1066" s="391"/>
      <c r="H1066" s="391"/>
      <c r="I1066" s="391"/>
      <c r="J1066" s="391"/>
      <c r="K1066" s="391"/>
      <c r="L1066" s="391"/>
      <c r="M1066" s="391"/>
      <c r="N1066" s="392"/>
    </row>
    <row r="1067" spans="1:14" outlineLevel="1">
      <c r="B1067" s="19"/>
      <c r="C1067" s="19"/>
      <c r="D1067" s="19"/>
      <c r="E1067" s="19"/>
      <c r="F1067" s="19"/>
      <c r="G1067" s="116"/>
      <c r="H1067" s="117"/>
      <c r="I1067" s="118"/>
      <c r="J1067" s="119"/>
      <c r="K1067" s="116"/>
      <c r="L1067" s="117"/>
      <c r="M1067" s="118"/>
      <c r="N1067" s="119"/>
    </row>
    <row r="1068" spans="1:14" ht="14.85" customHeight="1" outlineLevel="1">
      <c r="B1068" s="19"/>
      <c r="C1068" s="529" t="s">
        <v>1104</v>
      </c>
      <c r="D1068" s="528"/>
      <c r="E1068" s="528"/>
      <c r="F1068" s="597" t="str">
        <f>IF(OR(B1069:B1072)=FALSE,"SELECCIONA MÉTODO DE ENSAYO","")</f>
        <v>SELECCIONA MÉTODO DE ENSAYO</v>
      </c>
      <c r="G1068" s="116"/>
      <c r="H1068" s="117"/>
      <c r="I1068" s="118"/>
      <c r="J1068" s="119"/>
      <c r="K1068" s="116"/>
      <c r="L1068" s="117"/>
      <c r="M1068" s="118"/>
      <c r="N1068" s="119"/>
    </row>
    <row r="1069" spans="1:14" outlineLevel="1">
      <c r="A1069" s="168"/>
      <c r="B1069" s="530" t="b">
        <v>0</v>
      </c>
      <c r="C1069" s="736" t="s">
        <v>1119</v>
      </c>
      <c r="D1069" s="736"/>
      <c r="E1069" s="528"/>
      <c r="F1069" s="597"/>
      <c r="G1069" s="116"/>
      <c r="H1069" s="117"/>
      <c r="I1069" s="118"/>
      <c r="J1069" s="119"/>
      <c r="K1069" s="116"/>
      <c r="L1069" s="117"/>
      <c r="M1069" s="118"/>
      <c r="N1069" s="119"/>
    </row>
    <row r="1070" spans="1:14" ht="14.85" customHeight="1" outlineLevel="1">
      <c r="A1070" s="168"/>
      <c r="B1070" s="530" t="b">
        <v>0</v>
      </c>
      <c r="C1070" s="736" t="s">
        <v>1106</v>
      </c>
      <c r="D1070" s="736"/>
      <c r="E1070" s="736"/>
      <c r="F1070" s="597"/>
      <c r="G1070" s="116"/>
      <c r="H1070" s="117"/>
      <c r="I1070" s="118"/>
      <c r="J1070" s="119"/>
      <c r="K1070" s="116"/>
      <c r="L1070" s="117"/>
      <c r="M1070" s="118"/>
      <c r="N1070" s="119"/>
    </row>
    <row r="1071" spans="1:14" ht="15" customHeight="1" outlineLevel="1">
      <c r="A1071" s="168"/>
      <c r="B1071" s="530" t="b">
        <v>0</v>
      </c>
      <c r="C1071" s="735" t="s">
        <v>1107</v>
      </c>
      <c r="D1071" s="735"/>
      <c r="E1071" s="528"/>
      <c r="F1071" s="597"/>
      <c r="G1071" s="116"/>
      <c r="H1071" s="117"/>
      <c r="I1071" s="118"/>
      <c r="J1071" s="119"/>
      <c r="K1071" s="116"/>
      <c r="L1071" s="117"/>
      <c r="M1071" s="118"/>
      <c r="N1071" s="119"/>
    </row>
    <row r="1072" spans="1:14" outlineLevel="1">
      <c r="A1072" s="168"/>
      <c r="B1072" s="530" t="b">
        <v>0</v>
      </c>
      <c r="C1072" s="531" t="s">
        <v>1105</v>
      </c>
      <c r="D1072" s="531"/>
      <c r="E1072" s="528"/>
      <c r="F1072" s="597"/>
      <c r="G1072" s="116"/>
      <c r="H1072" s="117"/>
      <c r="I1072" s="118"/>
      <c r="J1072" s="119"/>
      <c r="K1072" s="116"/>
      <c r="L1072" s="117"/>
      <c r="M1072" s="118"/>
      <c r="N1072" s="119"/>
    </row>
    <row r="1073" spans="2:14" outlineLevel="1">
      <c r="B1073" s="19"/>
      <c r="C1073" s="528"/>
      <c r="D1073" s="528"/>
      <c r="E1073" s="528"/>
      <c r="F1073" s="528"/>
      <c r="G1073" s="116"/>
      <c r="H1073" s="117"/>
      <c r="I1073" s="118"/>
      <c r="J1073" s="119"/>
      <c r="K1073" s="116"/>
      <c r="L1073" s="117"/>
      <c r="M1073" s="118"/>
      <c r="N1073" s="119"/>
    </row>
    <row r="1074" spans="2:14" ht="16.350000000000001" customHeight="1" outlineLevel="1">
      <c r="B1074" s="19"/>
      <c r="C1074" s="734" t="s">
        <v>632</v>
      </c>
      <c r="D1074" s="734"/>
      <c r="E1074" s="734"/>
      <c r="F1074" s="734"/>
      <c r="G1074" s="116"/>
      <c r="H1074" s="117"/>
      <c r="I1074" s="118"/>
      <c r="J1074" s="119"/>
      <c r="K1074" s="116"/>
      <c r="L1074" s="117"/>
      <c r="M1074" s="118"/>
      <c r="N1074" s="119"/>
    </row>
    <row r="1075" spans="2:14" outlineLevel="1">
      <c r="B1075" s="19"/>
      <c r="C1075" s="734"/>
      <c r="D1075" s="734"/>
      <c r="E1075" s="734"/>
      <c r="F1075" s="734"/>
      <c r="G1075" s="116"/>
      <c r="H1075" s="117"/>
      <c r="I1075" s="118"/>
      <c r="J1075" s="119"/>
      <c r="K1075" s="116"/>
      <c r="L1075" s="117"/>
      <c r="M1075" s="118"/>
      <c r="N1075" s="119"/>
    </row>
    <row r="1076" spans="2:14" outlineLevel="1">
      <c r="B1076" s="19"/>
      <c r="C1076" s="734"/>
      <c r="D1076" s="734"/>
      <c r="E1076" s="734"/>
      <c r="F1076" s="734"/>
      <c r="G1076" s="116"/>
      <c r="H1076" s="117"/>
      <c r="I1076" s="118"/>
      <c r="J1076" s="119"/>
      <c r="K1076" s="116"/>
      <c r="L1076" s="117"/>
      <c r="M1076" s="118"/>
      <c r="N1076" s="119"/>
    </row>
    <row r="1077" spans="2:14" outlineLevel="1">
      <c r="B1077" s="19"/>
      <c r="C1077" s="734"/>
      <c r="D1077" s="734"/>
      <c r="E1077" s="734"/>
      <c r="F1077" s="734"/>
      <c r="G1077" s="116"/>
      <c r="H1077" s="117"/>
      <c r="I1077" s="118"/>
      <c r="J1077" s="119"/>
      <c r="K1077" s="116"/>
      <c r="L1077" s="117"/>
      <c r="M1077" s="118"/>
      <c r="N1077" s="119"/>
    </row>
    <row r="1078" spans="2:14" outlineLevel="1">
      <c r="B1078" s="19"/>
      <c r="C1078" s="19"/>
      <c r="D1078" s="19"/>
      <c r="E1078" s="19"/>
      <c r="F1078" s="19"/>
      <c r="G1078" s="116"/>
      <c r="H1078" s="117"/>
      <c r="I1078" s="118"/>
      <c r="J1078" s="119"/>
      <c r="K1078" s="116"/>
      <c r="L1078" s="117"/>
      <c r="M1078" s="118"/>
      <c r="N1078" s="119"/>
    </row>
    <row r="1079" spans="2:14" outlineLevel="1">
      <c r="B1079" s="19"/>
      <c r="C1079" s="536" t="s">
        <v>98</v>
      </c>
      <c r="D1079" s="537"/>
      <c r="E1079" s="537"/>
      <c r="F1079" s="538"/>
      <c r="G1079" s="116"/>
      <c r="H1079" s="117"/>
      <c r="I1079" s="118"/>
      <c r="J1079" s="119"/>
      <c r="K1079" s="116"/>
      <c r="L1079" s="117"/>
      <c r="M1079" s="118"/>
      <c r="N1079" s="119"/>
    </row>
    <row r="1080" spans="2:14" outlineLevel="1">
      <c r="B1080" s="19"/>
      <c r="C1080" s="539"/>
      <c r="D1080" s="540"/>
      <c r="E1080" s="540"/>
      <c r="F1080" s="541"/>
      <c r="G1080" s="116"/>
      <c r="H1080" s="117"/>
      <c r="I1080" s="118"/>
      <c r="J1080" s="119"/>
      <c r="K1080" s="116"/>
      <c r="L1080" s="117"/>
      <c r="M1080" s="118"/>
      <c r="N1080" s="119"/>
    </row>
    <row r="1081" spans="2:14" outlineLevel="1">
      <c r="B1081" s="19"/>
      <c r="C1081" s="539"/>
      <c r="D1081" s="540"/>
      <c r="E1081" s="540"/>
      <c r="F1081" s="541"/>
      <c r="G1081" s="116"/>
      <c r="H1081" s="117"/>
      <c r="I1081" s="118"/>
      <c r="J1081" s="119"/>
      <c r="K1081" s="116"/>
      <c r="L1081" s="117"/>
      <c r="M1081" s="118"/>
      <c r="N1081" s="119"/>
    </row>
    <row r="1082" spans="2:14" outlineLevel="1">
      <c r="B1082" s="19"/>
      <c r="C1082" s="542"/>
      <c r="D1082" s="543"/>
      <c r="E1082" s="543"/>
      <c r="F1082" s="544"/>
      <c r="G1082" s="116"/>
      <c r="H1082" s="117"/>
      <c r="I1082" s="118"/>
      <c r="J1082" s="119"/>
      <c r="K1082" s="116"/>
      <c r="L1082" s="117"/>
      <c r="M1082" s="118"/>
      <c r="N1082" s="119"/>
    </row>
    <row r="1083" spans="2:14" outlineLevel="1">
      <c r="B1083" s="19"/>
      <c r="C1083" s="385"/>
      <c r="D1083" s="385"/>
      <c r="E1083" s="385"/>
      <c r="F1083" s="385"/>
      <c r="G1083" s="116"/>
      <c r="H1083" s="117"/>
      <c r="I1083" s="118"/>
      <c r="J1083" s="119"/>
      <c r="K1083" s="116"/>
      <c r="L1083" s="117"/>
      <c r="M1083" s="118"/>
      <c r="N1083" s="119"/>
    </row>
    <row r="1084" spans="2:14" outlineLevel="1">
      <c r="B1084" s="19"/>
      <c r="C1084" s="54" t="s">
        <v>650</v>
      </c>
      <c r="D1084" s="19"/>
      <c r="E1084" s="19"/>
      <c r="F1084" s="19"/>
      <c r="G1084" s="116"/>
      <c r="H1084" s="117"/>
      <c r="I1084" s="118"/>
      <c r="J1084" s="119"/>
      <c r="K1084" s="116"/>
      <c r="L1084" s="117"/>
      <c r="M1084" s="118"/>
      <c r="N1084" s="119"/>
    </row>
    <row r="1085" spans="2:14" outlineLevel="2">
      <c r="B1085" s="19"/>
      <c r="C1085" s="19"/>
      <c r="D1085" s="19"/>
      <c r="E1085" s="19"/>
      <c r="F1085" s="19"/>
      <c r="G1085" s="116"/>
      <c r="H1085" s="117"/>
      <c r="I1085" s="118"/>
      <c r="J1085" s="119"/>
      <c r="K1085" s="116"/>
      <c r="L1085" s="117"/>
      <c r="M1085" s="118"/>
      <c r="N1085" s="119"/>
    </row>
    <row r="1086" spans="2:14" outlineLevel="2">
      <c r="B1086" s="19"/>
      <c r="C1086" s="707" t="s">
        <v>646</v>
      </c>
      <c r="D1086" s="708"/>
      <c r="E1086" s="708"/>
      <c r="F1086" s="709"/>
      <c r="G1086" s="116"/>
      <c r="H1086" s="117"/>
      <c r="I1086" s="118"/>
      <c r="J1086" s="119"/>
      <c r="K1086" s="116"/>
      <c r="L1086" s="117"/>
      <c r="M1086" s="118"/>
      <c r="N1086" s="119"/>
    </row>
    <row r="1087" spans="2:14" outlineLevel="2">
      <c r="B1087" s="19"/>
      <c r="C1087" s="710"/>
      <c r="D1087" s="711"/>
      <c r="E1087" s="711"/>
      <c r="F1087" s="712"/>
      <c r="G1087" s="116"/>
      <c r="H1087" s="117"/>
      <c r="I1087" s="118"/>
      <c r="J1087" s="119"/>
      <c r="K1087" s="116"/>
      <c r="L1087" s="117"/>
      <c r="M1087" s="118"/>
      <c r="N1087" s="119"/>
    </row>
    <row r="1088" spans="2:14" outlineLevel="2">
      <c r="B1088" s="19"/>
      <c r="C1088" s="710"/>
      <c r="D1088" s="711"/>
      <c r="E1088" s="711"/>
      <c r="F1088" s="712"/>
      <c r="G1088" s="116"/>
      <c r="H1088" s="117"/>
      <c r="I1088" s="118"/>
      <c r="J1088" s="119"/>
      <c r="K1088" s="116"/>
      <c r="L1088" s="117"/>
      <c r="M1088" s="118"/>
      <c r="N1088" s="119"/>
    </row>
    <row r="1089" spans="2:14" outlineLevel="2">
      <c r="B1089" s="19"/>
      <c r="C1089" s="710"/>
      <c r="D1089" s="711"/>
      <c r="E1089" s="711"/>
      <c r="F1089" s="712"/>
      <c r="G1089" s="116"/>
      <c r="H1089" s="117"/>
      <c r="I1089" s="118"/>
      <c r="J1089" s="119"/>
      <c r="K1089" s="116"/>
      <c r="L1089" s="117"/>
      <c r="M1089" s="118"/>
      <c r="N1089" s="119"/>
    </row>
    <row r="1090" spans="2:14" ht="15.75" customHeight="1" outlineLevel="2">
      <c r="B1090" s="19"/>
      <c r="C1090" s="713"/>
      <c r="D1090" s="714"/>
      <c r="E1090" s="714"/>
      <c r="F1090" s="715"/>
      <c r="G1090" s="116"/>
      <c r="H1090" s="117"/>
      <c r="I1090" s="118"/>
      <c r="J1090" s="119"/>
      <c r="K1090" s="116"/>
      <c r="L1090" s="117"/>
      <c r="M1090" s="118"/>
      <c r="N1090" s="119"/>
    </row>
    <row r="1091" spans="2:14" outlineLevel="2">
      <c r="B1091" s="19"/>
      <c r="C1091" s="386"/>
      <c r="D1091" s="19"/>
      <c r="E1091" s="19"/>
      <c r="F1091" s="19"/>
      <c r="G1091" s="116"/>
      <c r="H1091" s="117"/>
      <c r="I1091" s="118"/>
      <c r="J1091" s="119"/>
      <c r="K1091" s="116"/>
      <c r="L1091" s="117"/>
      <c r="M1091" s="118"/>
      <c r="N1091" s="119"/>
    </row>
    <row r="1092" spans="2:14" outlineLevel="2">
      <c r="B1092" s="19"/>
      <c r="C1092" s="707" t="s">
        <v>647</v>
      </c>
      <c r="D1092" s="708"/>
      <c r="E1092" s="708"/>
      <c r="F1092" s="709"/>
      <c r="G1092" s="116"/>
      <c r="H1092" s="117"/>
      <c r="I1092" s="118"/>
      <c r="J1092" s="119"/>
      <c r="K1092" s="116"/>
      <c r="L1092" s="117"/>
      <c r="M1092" s="118"/>
      <c r="N1092" s="119"/>
    </row>
    <row r="1093" spans="2:14" outlineLevel="2">
      <c r="B1093" s="19"/>
      <c r="C1093" s="720" t="s">
        <v>634</v>
      </c>
      <c r="D1093" s="586"/>
      <c r="E1093" s="586"/>
      <c r="F1093" s="721"/>
      <c r="G1093" s="116"/>
      <c r="H1093" s="117"/>
      <c r="I1093" s="118"/>
      <c r="J1093" s="119"/>
      <c r="K1093" s="116"/>
      <c r="L1093" s="117"/>
      <c r="M1093" s="118"/>
      <c r="N1093" s="119"/>
    </row>
    <row r="1094" spans="2:14" outlineLevel="2">
      <c r="B1094" s="19"/>
      <c r="C1094" s="720"/>
      <c r="D1094" s="586"/>
      <c r="E1094" s="586"/>
      <c r="F1094" s="721"/>
      <c r="G1094" s="116"/>
      <c r="H1094" s="117"/>
      <c r="I1094" s="118"/>
      <c r="J1094" s="119"/>
      <c r="K1094" s="116"/>
      <c r="L1094" s="117"/>
      <c r="M1094" s="118"/>
      <c r="N1094" s="119"/>
    </row>
    <row r="1095" spans="2:14" outlineLevel="2">
      <c r="B1095" s="19"/>
      <c r="C1095" s="722"/>
      <c r="D1095" s="723"/>
      <c r="E1095" s="723"/>
      <c r="F1095" s="724"/>
      <c r="G1095" s="116"/>
      <c r="H1095" s="117"/>
      <c r="I1095" s="118"/>
      <c r="J1095" s="119"/>
      <c r="K1095" s="116"/>
      <c r="L1095" s="117"/>
      <c r="M1095" s="118"/>
      <c r="N1095" s="119"/>
    </row>
    <row r="1096" spans="2:14" outlineLevel="2">
      <c r="B1096" s="19"/>
      <c r="C1096" s="19"/>
      <c r="D1096" s="19"/>
      <c r="E1096" s="19"/>
      <c r="F1096" s="19"/>
      <c r="G1096" s="116"/>
      <c r="H1096" s="117"/>
      <c r="I1096" s="118"/>
      <c r="J1096" s="119"/>
      <c r="K1096" s="116"/>
      <c r="L1096" s="117"/>
      <c r="M1096" s="118"/>
      <c r="N1096" s="119"/>
    </row>
    <row r="1097" spans="2:14" ht="15.75" customHeight="1" outlineLevel="2">
      <c r="B1097" s="19"/>
      <c r="C1097" s="707" t="s">
        <v>648</v>
      </c>
      <c r="D1097" s="708"/>
      <c r="E1097" s="708"/>
      <c r="F1097" s="709"/>
      <c r="G1097" s="116"/>
      <c r="H1097" s="117"/>
      <c r="I1097" s="118"/>
      <c r="J1097" s="119"/>
      <c r="K1097" s="116"/>
      <c r="L1097" s="117"/>
      <c r="M1097" s="118"/>
      <c r="N1097" s="119"/>
    </row>
    <row r="1098" spans="2:14" ht="15.75" customHeight="1" outlineLevel="2">
      <c r="B1098" s="19"/>
      <c r="C1098" s="710"/>
      <c r="D1098" s="711"/>
      <c r="E1098" s="711"/>
      <c r="F1098" s="712"/>
      <c r="G1098" s="116"/>
      <c r="H1098" s="117"/>
      <c r="I1098" s="118"/>
      <c r="J1098" s="119"/>
      <c r="K1098" s="116"/>
      <c r="L1098" s="117"/>
      <c r="M1098" s="118"/>
      <c r="N1098" s="119"/>
    </row>
    <row r="1099" spans="2:14" ht="15.75" customHeight="1" outlineLevel="2">
      <c r="B1099" s="19"/>
      <c r="C1099" s="710"/>
      <c r="D1099" s="711"/>
      <c r="E1099" s="711"/>
      <c r="F1099" s="712"/>
      <c r="G1099" s="116"/>
      <c r="H1099" s="117"/>
      <c r="I1099" s="118"/>
      <c r="J1099" s="119"/>
      <c r="K1099" s="116"/>
      <c r="L1099" s="117"/>
      <c r="M1099" s="118"/>
      <c r="N1099" s="119"/>
    </row>
    <row r="1100" spans="2:14" ht="15.75" customHeight="1" outlineLevel="2">
      <c r="B1100" s="19"/>
      <c r="C1100" s="713"/>
      <c r="D1100" s="714"/>
      <c r="E1100" s="714"/>
      <c r="F1100" s="715"/>
      <c r="G1100" s="116"/>
      <c r="H1100" s="117"/>
      <c r="I1100" s="118"/>
      <c r="J1100" s="119"/>
      <c r="K1100" s="116"/>
      <c r="L1100" s="117"/>
      <c r="M1100" s="118"/>
      <c r="N1100" s="119"/>
    </row>
    <row r="1101" spans="2:14" outlineLevel="2">
      <c r="B1101" s="19"/>
      <c r="C1101" s="19"/>
      <c r="D1101" s="19"/>
      <c r="E1101" s="19"/>
      <c r="F1101" s="19"/>
      <c r="G1101" s="116"/>
      <c r="H1101" s="117"/>
      <c r="I1101" s="118"/>
      <c r="J1101" s="119"/>
      <c r="K1101" s="116"/>
      <c r="L1101" s="117"/>
      <c r="M1101" s="118"/>
      <c r="N1101" s="119"/>
    </row>
    <row r="1102" spans="2:14" outlineLevel="2">
      <c r="B1102" s="19"/>
      <c r="C1102" s="393" t="s">
        <v>635</v>
      </c>
      <c r="D1102" s="394"/>
      <c r="E1102" s="181"/>
      <c r="F1102" s="19"/>
      <c r="G1102" s="116"/>
      <c r="H1102" s="117"/>
      <c r="I1102" s="118"/>
      <c r="J1102" s="119"/>
      <c r="K1102" s="116"/>
      <c r="L1102" s="117"/>
      <c r="M1102" s="118"/>
      <c r="N1102" s="119"/>
    </row>
    <row r="1103" spans="2:14" outlineLevel="2">
      <c r="B1103" s="19"/>
      <c r="C1103" s="395" t="s">
        <v>636</v>
      </c>
      <c r="E1103" s="366"/>
      <c r="F1103" s="19"/>
      <c r="G1103" s="116"/>
      <c r="H1103" s="117"/>
      <c r="I1103" s="118"/>
      <c r="J1103" s="119"/>
      <c r="K1103" s="116"/>
      <c r="L1103" s="117"/>
      <c r="M1103" s="118"/>
      <c r="N1103" s="119"/>
    </row>
    <row r="1104" spans="2:14" outlineLevel="2">
      <c r="B1104" s="19"/>
      <c r="C1104" s="395" t="s">
        <v>637</v>
      </c>
      <c r="E1104" s="366"/>
      <c r="F1104" s="19"/>
      <c r="G1104" s="116"/>
      <c r="H1104" s="117"/>
      <c r="I1104" s="118"/>
      <c r="J1104" s="119"/>
      <c r="K1104" s="116"/>
      <c r="L1104" s="117"/>
      <c r="M1104" s="118"/>
      <c r="N1104" s="119"/>
    </row>
    <row r="1105" spans="2:14" outlineLevel="2">
      <c r="B1105" s="19"/>
      <c r="C1105" s="395" t="s">
        <v>638</v>
      </c>
      <c r="E1105" s="366"/>
      <c r="F1105" s="19"/>
      <c r="G1105" s="116"/>
      <c r="H1105" s="117"/>
      <c r="I1105" s="118"/>
      <c r="J1105" s="119"/>
      <c r="K1105" s="116"/>
      <c r="L1105" s="117"/>
      <c r="M1105" s="118"/>
      <c r="N1105" s="119"/>
    </row>
    <row r="1106" spans="2:14" outlineLevel="2">
      <c r="B1106" s="19"/>
      <c r="C1106" s="395" t="s">
        <v>639</v>
      </c>
      <c r="E1106" s="366"/>
      <c r="F1106" s="19"/>
      <c r="G1106" s="116"/>
      <c r="H1106" s="117"/>
      <c r="I1106" s="118"/>
      <c r="J1106" s="119"/>
      <c r="K1106" s="116"/>
      <c r="L1106" s="117"/>
      <c r="M1106" s="118"/>
      <c r="N1106" s="119"/>
    </row>
    <row r="1107" spans="2:14" outlineLevel="2">
      <c r="B1107" s="19"/>
      <c r="C1107" s="395" t="s">
        <v>640</v>
      </c>
      <c r="E1107" s="366"/>
      <c r="F1107" s="19"/>
      <c r="G1107" s="116"/>
      <c r="H1107" s="117"/>
      <c r="I1107" s="118"/>
      <c r="J1107" s="119"/>
      <c r="K1107" s="116"/>
      <c r="L1107" s="117"/>
      <c r="M1107" s="118"/>
      <c r="N1107" s="119"/>
    </row>
    <row r="1108" spans="2:14" outlineLevel="2">
      <c r="B1108" s="19"/>
      <c r="C1108" s="395" t="s">
        <v>641</v>
      </c>
      <c r="E1108" s="366"/>
      <c r="F1108" s="19"/>
      <c r="G1108" s="116"/>
      <c r="H1108" s="117"/>
      <c r="I1108" s="118"/>
      <c r="J1108" s="119"/>
      <c r="K1108" s="116"/>
      <c r="L1108" s="117"/>
      <c r="M1108" s="118"/>
      <c r="N1108" s="119"/>
    </row>
    <row r="1109" spans="2:14" outlineLevel="2">
      <c r="B1109" s="19"/>
      <c r="C1109" s="395" t="s">
        <v>642</v>
      </c>
      <c r="E1109" s="366"/>
      <c r="F1109" s="19"/>
      <c r="G1109" s="116"/>
      <c r="H1109" s="117"/>
      <c r="I1109" s="118"/>
      <c r="J1109" s="119"/>
      <c r="K1109" s="116"/>
      <c r="L1109" s="117"/>
      <c r="M1109" s="118"/>
      <c r="N1109" s="119"/>
    </row>
    <row r="1110" spans="2:14" outlineLevel="2">
      <c r="B1110" s="19"/>
      <c r="C1110" s="395" t="s">
        <v>643</v>
      </c>
      <c r="E1110" s="366"/>
      <c r="F1110" s="19"/>
      <c r="G1110" s="116"/>
      <c r="H1110" s="117"/>
      <c r="I1110" s="118"/>
      <c r="J1110" s="119"/>
      <c r="K1110" s="116"/>
      <c r="L1110" s="117"/>
      <c r="M1110" s="118"/>
      <c r="N1110" s="119"/>
    </row>
    <row r="1111" spans="2:14" outlineLevel="2">
      <c r="B1111" s="19"/>
      <c r="C1111" s="395" t="s">
        <v>644</v>
      </c>
      <c r="E1111" s="366"/>
      <c r="F1111" s="19"/>
      <c r="G1111" s="116"/>
      <c r="H1111" s="117"/>
      <c r="I1111" s="118"/>
      <c r="J1111" s="119"/>
      <c r="K1111" s="116"/>
      <c r="L1111" s="117"/>
      <c r="M1111" s="118"/>
      <c r="N1111" s="119"/>
    </row>
    <row r="1112" spans="2:14" outlineLevel="2">
      <c r="B1112" s="19"/>
      <c r="C1112" s="395" t="s">
        <v>645</v>
      </c>
      <c r="E1112" s="366"/>
      <c r="F1112" s="19"/>
      <c r="G1112" s="116"/>
      <c r="H1112" s="117"/>
      <c r="I1112" s="118"/>
      <c r="J1112" s="119"/>
      <c r="K1112" s="116"/>
      <c r="L1112" s="117"/>
      <c r="M1112" s="118"/>
      <c r="N1112" s="119"/>
    </row>
    <row r="1113" spans="2:14" outlineLevel="2">
      <c r="B1113" s="19"/>
      <c r="C1113" s="396" t="s">
        <v>780</v>
      </c>
      <c r="D1113" s="397"/>
      <c r="E1113" s="367"/>
      <c r="F1113" s="19"/>
      <c r="G1113" s="116"/>
      <c r="H1113" s="117"/>
      <c r="I1113" s="118"/>
      <c r="J1113" s="119"/>
      <c r="K1113" s="116"/>
      <c r="L1113" s="117"/>
      <c r="M1113" s="118"/>
      <c r="N1113" s="119"/>
    </row>
    <row r="1114" spans="2:14" outlineLevel="2">
      <c r="B1114" s="19"/>
      <c r="C1114" s="19"/>
      <c r="D1114" s="19"/>
      <c r="E1114" s="19"/>
      <c r="F1114" s="19"/>
      <c r="G1114" s="116"/>
      <c r="H1114" s="117"/>
      <c r="I1114" s="118"/>
      <c r="J1114" s="119"/>
      <c r="K1114" s="116"/>
      <c r="L1114" s="117"/>
      <c r="M1114" s="118"/>
      <c r="N1114" s="119"/>
    </row>
    <row r="1115" spans="2:14" outlineLevel="1">
      <c r="B1115" s="19"/>
      <c r="C1115" s="19"/>
      <c r="D1115" s="19"/>
      <c r="E1115" s="19"/>
      <c r="F1115" s="19"/>
      <c r="G1115" s="116"/>
      <c r="H1115" s="117"/>
      <c r="I1115" s="118"/>
      <c r="J1115" s="119"/>
      <c r="K1115" s="116"/>
      <c r="L1115" s="117"/>
      <c r="M1115" s="118"/>
      <c r="N1115" s="119"/>
    </row>
    <row r="1116" spans="2:14">
      <c r="B1116" s="19"/>
      <c r="C1116" s="19"/>
      <c r="D1116" s="19"/>
      <c r="E1116" s="19"/>
      <c r="F1116" s="19"/>
      <c r="G1116" s="116"/>
      <c r="H1116" s="117"/>
      <c r="I1116" s="118"/>
      <c r="J1116" s="119"/>
      <c r="K1116" s="116"/>
      <c r="L1116" s="117"/>
      <c r="M1116" s="118"/>
      <c r="N1116" s="119"/>
    </row>
    <row r="1117" spans="2:14">
      <c r="G1117" s="116"/>
      <c r="H1117" s="117"/>
      <c r="I1117" s="118"/>
      <c r="J1117" s="119"/>
      <c r="K1117" s="116"/>
      <c r="L1117" s="117"/>
      <c r="M1117" s="118"/>
      <c r="N1117" s="119"/>
    </row>
    <row r="1118" spans="2:14">
      <c r="G1118" s="116"/>
      <c r="H1118" s="117"/>
      <c r="I1118" s="118"/>
      <c r="J1118" s="119"/>
      <c r="K1118" s="116"/>
      <c r="L1118" s="117"/>
      <c r="M1118" s="118"/>
      <c r="N1118" s="119"/>
    </row>
    <row r="1119" spans="2:14">
      <c r="G1119" s="116"/>
      <c r="H1119" s="117"/>
      <c r="I1119" s="118"/>
      <c r="J1119" s="119"/>
      <c r="K1119" s="116"/>
      <c r="L1119" s="117"/>
      <c r="M1119" s="118"/>
      <c r="N1119" s="119"/>
    </row>
    <row r="1120" spans="2:14">
      <c r="G1120" s="116"/>
      <c r="H1120" s="117"/>
      <c r="I1120" s="118"/>
      <c r="J1120" s="119"/>
      <c r="K1120" s="116"/>
      <c r="L1120" s="117"/>
      <c r="M1120" s="118"/>
      <c r="N1120" s="119"/>
    </row>
    <row r="1121" spans="7:14">
      <c r="G1121" s="116"/>
      <c r="H1121" s="117"/>
      <c r="I1121" s="118"/>
      <c r="J1121" s="119"/>
      <c r="K1121" s="116"/>
      <c r="L1121" s="117"/>
      <c r="M1121" s="118"/>
      <c r="N1121" s="119"/>
    </row>
    <row r="1122" spans="7:14">
      <c r="G1122" s="116"/>
      <c r="H1122" s="117"/>
      <c r="I1122" s="118"/>
      <c r="J1122" s="119"/>
      <c r="K1122" s="116"/>
      <c r="L1122" s="117"/>
      <c r="M1122" s="118"/>
      <c r="N1122" s="119"/>
    </row>
    <row r="1123" spans="7:14">
      <c r="G1123" s="116"/>
      <c r="H1123" s="117"/>
      <c r="I1123" s="118"/>
      <c r="J1123" s="119"/>
      <c r="K1123" s="116"/>
      <c r="L1123" s="117"/>
      <c r="M1123" s="118"/>
      <c r="N1123" s="119"/>
    </row>
    <row r="1124" spans="7:14">
      <c r="G1124" s="116"/>
      <c r="H1124" s="117"/>
      <c r="I1124" s="118"/>
      <c r="J1124" s="119"/>
      <c r="K1124" s="116"/>
      <c r="L1124" s="117"/>
      <c r="M1124" s="118"/>
      <c r="N1124" s="119"/>
    </row>
    <row r="1125" spans="7:14">
      <c r="G1125" s="116"/>
      <c r="H1125" s="117"/>
      <c r="I1125" s="118"/>
      <c r="J1125" s="119"/>
      <c r="K1125" s="116"/>
      <c r="L1125" s="117"/>
      <c r="M1125" s="118"/>
      <c r="N1125" s="119"/>
    </row>
    <row r="1126" spans="7:14">
      <c r="G1126" s="116"/>
      <c r="H1126" s="117"/>
      <c r="I1126" s="118"/>
      <c r="J1126" s="119"/>
      <c r="K1126" s="116"/>
      <c r="L1126" s="117"/>
      <c r="M1126" s="118"/>
      <c r="N1126" s="119"/>
    </row>
    <row r="1127" spans="7:14">
      <c r="G1127" s="116"/>
      <c r="H1127" s="117"/>
      <c r="I1127" s="118"/>
      <c r="J1127" s="119"/>
      <c r="K1127" s="116"/>
      <c r="L1127" s="117"/>
      <c r="M1127" s="118"/>
      <c r="N1127" s="119"/>
    </row>
    <row r="1128" spans="7:14">
      <c r="G1128" s="116"/>
      <c r="H1128" s="117"/>
      <c r="I1128" s="118"/>
      <c r="J1128" s="119"/>
      <c r="K1128" s="116"/>
      <c r="L1128" s="117"/>
      <c r="M1128" s="118"/>
      <c r="N1128" s="119"/>
    </row>
    <row r="1129" spans="7:14">
      <c r="G1129" s="116"/>
      <c r="H1129" s="117"/>
      <c r="I1129" s="118"/>
      <c r="J1129" s="119"/>
      <c r="K1129" s="116"/>
      <c r="L1129" s="117"/>
      <c r="M1129" s="118"/>
      <c r="N1129" s="119"/>
    </row>
    <row r="1130" spans="7:14">
      <c r="G1130" s="116"/>
      <c r="H1130" s="117"/>
      <c r="I1130" s="118"/>
      <c r="J1130" s="119"/>
      <c r="K1130" s="116"/>
      <c r="L1130" s="117"/>
      <c r="M1130" s="118"/>
      <c r="N1130" s="119"/>
    </row>
    <row r="1131" spans="7:14">
      <c r="G1131" s="116"/>
      <c r="H1131" s="117"/>
      <c r="I1131" s="118"/>
      <c r="J1131" s="119"/>
      <c r="K1131" s="116"/>
      <c r="L1131" s="117"/>
      <c r="M1131" s="118"/>
      <c r="N1131" s="119"/>
    </row>
    <row r="1132" spans="7:14">
      <c r="G1132" s="116"/>
      <c r="H1132" s="117"/>
      <c r="I1132" s="118"/>
      <c r="J1132" s="119"/>
      <c r="K1132" s="116"/>
      <c r="L1132" s="117"/>
      <c r="M1132" s="118"/>
      <c r="N1132" s="119"/>
    </row>
    <row r="1133" spans="7:14">
      <c r="G1133" s="116"/>
      <c r="H1133" s="117"/>
      <c r="I1133" s="118"/>
      <c r="J1133" s="119"/>
      <c r="K1133" s="116"/>
      <c r="L1133" s="117"/>
      <c r="M1133" s="118"/>
      <c r="N1133" s="119"/>
    </row>
    <row r="1134" spans="7:14">
      <c r="G1134" s="116"/>
      <c r="H1134" s="117"/>
      <c r="I1134" s="118"/>
      <c r="J1134" s="119"/>
      <c r="K1134" s="116"/>
      <c r="L1134" s="117"/>
      <c r="M1134" s="118"/>
      <c r="N1134" s="119"/>
    </row>
    <row r="1135" spans="7:14">
      <c r="G1135" s="116"/>
      <c r="H1135" s="117"/>
      <c r="I1135" s="118"/>
      <c r="J1135" s="119"/>
      <c r="K1135" s="116"/>
      <c r="L1135" s="117"/>
      <c r="M1135" s="118"/>
      <c r="N1135" s="119"/>
    </row>
    <row r="1136" spans="7:14">
      <c r="G1136" s="116"/>
      <c r="H1136" s="117"/>
      <c r="I1136" s="118"/>
      <c r="J1136" s="119"/>
      <c r="K1136" s="116"/>
      <c r="L1136" s="117"/>
      <c r="M1136" s="118"/>
      <c r="N1136" s="119"/>
    </row>
    <row r="1137" spans="7:14">
      <c r="G1137" s="116"/>
      <c r="H1137" s="117"/>
      <c r="I1137" s="118"/>
      <c r="J1137" s="119"/>
      <c r="K1137" s="116"/>
      <c r="L1137" s="117"/>
      <c r="M1137" s="118"/>
      <c r="N1137" s="119"/>
    </row>
    <row r="1138" spans="7:14">
      <c r="G1138" s="116"/>
      <c r="H1138" s="117"/>
      <c r="I1138" s="118"/>
      <c r="J1138" s="119"/>
      <c r="K1138" s="116"/>
      <c r="L1138" s="117"/>
      <c r="M1138" s="118"/>
      <c r="N1138" s="119"/>
    </row>
    <row r="1139" spans="7:14">
      <c r="G1139" s="116"/>
      <c r="H1139" s="117"/>
      <c r="I1139" s="118"/>
      <c r="J1139" s="119"/>
      <c r="K1139" s="116"/>
      <c r="L1139" s="117"/>
      <c r="M1139" s="118"/>
      <c r="N1139" s="119"/>
    </row>
    <row r="1140" spans="7:14">
      <c r="G1140" s="116"/>
      <c r="H1140" s="117"/>
      <c r="I1140" s="118"/>
      <c r="J1140" s="119"/>
      <c r="K1140" s="116"/>
      <c r="L1140" s="117"/>
      <c r="M1140" s="118"/>
      <c r="N1140" s="119"/>
    </row>
    <row r="1141" spans="7:14">
      <c r="G1141" s="116"/>
      <c r="H1141" s="117"/>
      <c r="I1141" s="118"/>
      <c r="J1141" s="119"/>
      <c r="K1141" s="116"/>
      <c r="L1141" s="117"/>
      <c r="M1141" s="118"/>
      <c r="N1141" s="119"/>
    </row>
    <row r="1142" spans="7:14">
      <c r="G1142" s="116"/>
      <c r="H1142" s="117"/>
      <c r="I1142" s="118"/>
      <c r="J1142" s="119"/>
      <c r="K1142" s="116"/>
      <c r="L1142" s="117"/>
      <c r="M1142" s="118"/>
      <c r="N1142" s="119"/>
    </row>
    <row r="1143" spans="7:14">
      <c r="G1143" s="116"/>
      <c r="H1143" s="117"/>
      <c r="I1143" s="118"/>
      <c r="J1143" s="119"/>
      <c r="K1143" s="116"/>
      <c r="L1143" s="117"/>
      <c r="M1143" s="118"/>
      <c r="N1143" s="119"/>
    </row>
    <row r="1144" spans="7:14">
      <c r="G1144" s="116"/>
      <c r="H1144" s="117"/>
      <c r="I1144" s="118"/>
      <c r="J1144" s="119"/>
      <c r="K1144" s="116"/>
      <c r="L1144" s="117"/>
      <c r="M1144" s="118"/>
      <c r="N1144" s="119"/>
    </row>
    <row r="1145" spans="7:14">
      <c r="G1145" s="116"/>
      <c r="H1145" s="117"/>
      <c r="I1145" s="118"/>
      <c r="J1145" s="119"/>
      <c r="K1145" s="116"/>
      <c r="L1145" s="117"/>
      <c r="M1145" s="118"/>
      <c r="N1145" s="119"/>
    </row>
    <row r="1146" spans="7:14">
      <c r="G1146" s="116"/>
      <c r="H1146" s="117"/>
      <c r="I1146" s="118"/>
      <c r="J1146" s="119"/>
      <c r="K1146" s="116"/>
      <c r="L1146" s="117"/>
      <c r="M1146" s="118"/>
      <c r="N1146" s="119"/>
    </row>
    <row r="1147" spans="7:14">
      <c r="G1147" s="116"/>
      <c r="H1147" s="117"/>
      <c r="I1147" s="118"/>
      <c r="J1147" s="119"/>
      <c r="K1147" s="116"/>
      <c r="L1147" s="117"/>
      <c r="M1147" s="118"/>
      <c r="N1147" s="119"/>
    </row>
    <row r="1148" spans="7:14">
      <c r="G1148" s="116"/>
      <c r="H1148" s="117"/>
      <c r="I1148" s="118"/>
      <c r="J1148" s="119"/>
      <c r="K1148" s="116"/>
      <c r="L1148" s="117"/>
      <c r="M1148" s="118"/>
      <c r="N1148" s="119"/>
    </row>
    <row r="1149" spans="7:14">
      <c r="G1149" s="116"/>
      <c r="H1149" s="117"/>
      <c r="I1149" s="118"/>
      <c r="J1149" s="119"/>
      <c r="K1149" s="116"/>
      <c r="L1149" s="117"/>
      <c r="M1149" s="118"/>
      <c r="N1149" s="119"/>
    </row>
    <row r="1150" spans="7:14">
      <c r="G1150" s="116"/>
      <c r="H1150" s="117"/>
      <c r="I1150" s="118"/>
      <c r="J1150" s="119"/>
      <c r="K1150" s="116"/>
      <c r="L1150" s="117"/>
      <c r="M1150" s="118"/>
      <c r="N1150" s="119"/>
    </row>
    <row r="1151" spans="7:14">
      <c r="G1151" s="116"/>
      <c r="H1151" s="117"/>
      <c r="I1151" s="118"/>
      <c r="J1151" s="119"/>
      <c r="K1151" s="116"/>
      <c r="L1151" s="117"/>
      <c r="M1151" s="118"/>
      <c r="N1151" s="119"/>
    </row>
    <row r="1152" spans="7:14">
      <c r="G1152" s="116"/>
      <c r="H1152" s="117"/>
      <c r="I1152" s="118"/>
      <c r="J1152" s="119"/>
      <c r="K1152" s="116"/>
      <c r="L1152" s="117"/>
      <c r="M1152" s="118"/>
      <c r="N1152" s="119"/>
    </row>
    <row r="1153" spans="7:14">
      <c r="G1153" s="116"/>
      <c r="H1153" s="117"/>
      <c r="I1153" s="118"/>
      <c r="J1153" s="119"/>
      <c r="K1153" s="116"/>
      <c r="L1153" s="117"/>
      <c r="M1153" s="118"/>
      <c r="N1153" s="119"/>
    </row>
    <row r="1154" spans="7:14">
      <c r="G1154" s="116"/>
      <c r="H1154" s="117"/>
      <c r="I1154" s="118"/>
      <c r="J1154" s="119"/>
      <c r="K1154" s="116"/>
      <c r="L1154" s="117"/>
      <c r="M1154" s="118"/>
      <c r="N1154" s="119"/>
    </row>
    <row r="1155" spans="7:14">
      <c r="G1155" s="116"/>
      <c r="H1155" s="117"/>
      <c r="I1155" s="118"/>
      <c r="J1155" s="119"/>
      <c r="K1155" s="116"/>
      <c r="L1155" s="117"/>
      <c r="M1155" s="118"/>
      <c r="N1155" s="119"/>
    </row>
    <row r="1156" spans="7:14">
      <c r="G1156" s="116"/>
      <c r="H1156" s="117"/>
      <c r="I1156" s="118"/>
      <c r="J1156" s="119"/>
      <c r="K1156" s="116"/>
      <c r="L1156" s="117"/>
      <c r="M1156" s="118"/>
      <c r="N1156" s="119"/>
    </row>
    <row r="1157" spans="7:14">
      <c r="G1157" s="116"/>
      <c r="H1157" s="117"/>
      <c r="I1157" s="118"/>
      <c r="J1157" s="119"/>
      <c r="K1157" s="116"/>
      <c r="L1157" s="117"/>
      <c r="M1157" s="118"/>
      <c r="N1157" s="119"/>
    </row>
    <row r="1158" spans="7:14">
      <c r="G1158" s="116"/>
      <c r="H1158" s="117"/>
      <c r="I1158" s="118"/>
      <c r="J1158" s="119"/>
      <c r="K1158" s="116"/>
      <c r="L1158" s="117"/>
      <c r="M1158" s="118"/>
      <c r="N1158" s="119"/>
    </row>
    <row r="1159" spans="7:14">
      <c r="G1159" s="116"/>
      <c r="H1159" s="117"/>
      <c r="I1159" s="118"/>
      <c r="J1159" s="119"/>
      <c r="K1159" s="116"/>
      <c r="L1159" s="117"/>
      <c r="M1159" s="118"/>
      <c r="N1159" s="119"/>
    </row>
    <row r="1160" spans="7:14">
      <c r="G1160" s="116"/>
      <c r="H1160" s="117"/>
      <c r="I1160" s="118"/>
      <c r="J1160" s="119"/>
      <c r="K1160" s="116"/>
      <c r="L1160" s="117"/>
      <c r="M1160" s="118"/>
      <c r="N1160" s="119"/>
    </row>
    <row r="1161" spans="7:14">
      <c r="G1161" s="116"/>
      <c r="H1161" s="117"/>
      <c r="I1161" s="118"/>
      <c r="J1161" s="119"/>
      <c r="K1161" s="116"/>
      <c r="L1161" s="117"/>
      <c r="M1161" s="118"/>
      <c r="N1161" s="119"/>
    </row>
    <row r="1162" spans="7:14">
      <c r="G1162" s="116"/>
      <c r="H1162" s="117"/>
      <c r="I1162" s="118"/>
      <c r="J1162" s="119"/>
      <c r="K1162" s="116"/>
      <c r="L1162" s="117"/>
      <c r="M1162" s="118"/>
      <c r="N1162" s="119"/>
    </row>
    <row r="1163" spans="7:14">
      <c r="G1163" s="116"/>
      <c r="H1163" s="117"/>
      <c r="I1163" s="118"/>
      <c r="J1163" s="119"/>
      <c r="K1163" s="116"/>
      <c r="L1163" s="117"/>
      <c r="M1163" s="118"/>
      <c r="N1163" s="119"/>
    </row>
    <row r="1164" spans="7:14">
      <c r="G1164" s="116"/>
      <c r="H1164" s="117"/>
      <c r="I1164" s="118"/>
      <c r="J1164" s="119"/>
      <c r="K1164" s="116"/>
      <c r="L1164" s="117"/>
      <c r="M1164" s="118"/>
      <c r="N1164" s="119"/>
    </row>
    <row r="1165" spans="7:14">
      <c r="G1165" s="116"/>
      <c r="H1165" s="117"/>
      <c r="I1165" s="118"/>
      <c r="J1165" s="119"/>
      <c r="K1165" s="116"/>
      <c r="L1165" s="117"/>
      <c r="M1165" s="118"/>
      <c r="N1165" s="119"/>
    </row>
    <row r="1166" spans="7:14">
      <c r="G1166" s="116"/>
      <c r="H1166" s="117"/>
      <c r="I1166" s="118"/>
      <c r="J1166" s="119"/>
      <c r="K1166" s="116"/>
      <c r="L1166" s="117"/>
      <c r="M1166" s="118"/>
      <c r="N1166" s="119"/>
    </row>
    <row r="1167" spans="7:14">
      <c r="G1167" s="116"/>
      <c r="H1167" s="117"/>
      <c r="I1167" s="118"/>
      <c r="J1167" s="119"/>
      <c r="K1167" s="116"/>
      <c r="L1167" s="117"/>
      <c r="M1167" s="118"/>
      <c r="N1167" s="119"/>
    </row>
    <row r="1168" spans="7:14">
      <c r="G1168" s="116"/>
      <c r="H1168" s="117"/>
      <c r="I1168" s="118"/>
      <c r="J1168" s="119"/>
      <c r="K1168" s="116"/>
      <c r="L1168" s="117"/>
      <c r="M1168" s="118"/>
      <c r="N1168" s="119"/>
    </row>
    <row r="1169" spans="7:14">
      <c r="G1169" s="116"/>
      <c r="H1169" s="117"/>
      <c r="I1169" s="118"/>
      <c r="J1169" s="119"/>
      <c r="K1169" s="116"/>
      <c r="L1169" s="117"/>
      <c r="M1169" s="118"/>
      <c r="N1169" s="119"/>
    </row>
    <row r="1170" spans="7:14">
      <c r="G1170" s="116"/>
      <c r="H1170" s="117"/>
      <c r="I1170" s="118"/>
      <c r="J1170" s="119"/>
      <c r="K1170" s="116"/>
      <c r="L1170" s="117"/>
      <c r="M1170" s="118"/>
      <c r="N1170" s="119"/>
    </row>
    <row r="1171" spans="7:14">
      <c r="G1171" s="116"/>
      <c r="H1171" s="117"/>
      <c r="I1171" s="118"/>
      <c r="J1171" s="119"/>
      <c r="K1171" s="116"/>
      <c r="L1171" s="117"/>
      <c r="M1171" s="118"/>
      <c r="N1171" s="119"/>
    </row>
    <row r="1172" spans="7:14">
      <c r="G1172" s="116"/>
      <c r="H1172" s="117"/>
      <c r="I1172" s="118"/>
      <c r="J1172" s="119"/>
      <c r="K1172" s="116"/>
      <c r="L1172" s="117"/>
      <c r="M1172" s="118"/>
      <c r="N1172" s="119"/>
    </row>
    <row r="1173" spans="7:14">
      <c r="G1173" s="116"/>
      <c r="H1173" s="117"/>
      <c r="I1173" s="118"/>
      <c r="J1173" s="119"/>
      <c r="K1173" s="116"/>
      <c r="L1173" s="117"/>
      <c r="M1173" s="118"/>
      <c r="N1173" s="119"/>
    </row>
    <row r="1174" spans="7:14">
      <c r="G1174" s="116"/>
      <c r="H1174" s="117"/>
      <c r="I1174" s="118"/>
      <c r="J1174" s="119"/>
      <c r="K1174" s="116"/>
      <c r="L1174" s="117"/>
      <c r="M1174" s="118"/>
      <c r="N1174" s="119"/>
    </row>
    <row r="1175" spans="7:14">
      <c r="G1175" s="116"/>
      <c r="H1175" s="117"/>
      <c r="I1175" s="118"/>
      <c r="J1175" s="119"/>
      <c r="K1175" s="116"/>
      <c r="L1175" s="117"/>
      <c r="M1175" s="118"/>
      <c r="N1175" s="119"/>
    </row>
    <row r="1176" spans="7:14">
      <c r="G1176" s="116"/>
      <c r="H1176" s="117"/>
      <c r="I1176" s="118"/>
      <c r="J1176" s="119"/>
      <c r="K1176" s="116"/>
      <c r="L1176" s="117"/>
      <c r="M1176" s="118"/>
      <c r="N1176" s="119"/>
    </row>
    <row r="1177" spans="7:14">
      <c r="G1177" s="116"/>
      <c r="H1177" s="117"/>
      <c r="I1177" s="118"/>
      <c r="J1177" s="119"/>
      <c r="K1177" s="116"/>
      <c r="L1177" s="117"/>
      <c r="M1177" s="118"/>
      <c r="N1177" s="119"/>
    </row>
    <row r="1178" spans="7:14">
      <c r="G1178" s="116"/>
      <c r="H1178" s="117"/>
      <c r="I1178" s="118"/>
      <c r="J1178" s="119"/>
      <c r="K1178" s="116"/>
      <c r="L1178" s="117"/>
      <c r="M1178" s="118"/>
      <c r="N1178" s="119"/>
    </row>
    <row r="1179" spans="7:14">
      <c r="G1179" s="116"/>
      <c r="H1179" s="117"/>
      <c r="I1179" s="118"/>
      <c r="J1179" s="119"/>
      <c r="K1179" s="116"/>
      <c r="L1179" s="117"/>
      <c r="M1179" s="118"/>
      <c r="N1179" s="119"/>
    </row>
    <row r="1180" spans="7:14">
      <c r="G1180" s="116"/>
      <c r="H1180" s="117"/>
      <c r="I1180" s="118"/>
      <c r="J1180" s="119"/>
      <c r="K1180" s="116"/>
      <c r="L1180" s="117"/>
      <c r="M1180" s="118"/>
      <c r="N1180" s="119"/>
    </row>
    <row r="1181" spans="7:14">
      <c r="G1181" s="116"/>
      <c r="H1181" s="117"/>
      <c r="I1181" s="118"/>
      <c r="J1181" s="119"/>
      <c r="K1181" s="116"/>
      <c r="L1181" s="117"/>
      <c r="M1181" s="118"/>
      <c r="N1181" s="119"/>
    </row>
    <row r="1182" spans="7:14">
      <c r="G1182" s="116"/>
      <c r="H1182" s="117"/>
      <c r="I1182" s="118"/>
      <c r="J1182" s="119"/>
      <c r="K1182" s="116"/>
      <c r="L1182" s="117"/>
      <c r="M1182" s="118"/>
      <c r="N1182" s="119"/>
    </row>
    <row r="1183" spans="7:14">
      <c r="G1183" s="116"/>
      <c r="H1183" s="117"/>
      <c r="I1183" s="118"/>
      <c r="J1183" s="119"/>
      <c r="K1183" s="116"/>
      <c r="L1183" s="117"/>
      <c r="M1183" s="118"/>
      <c r="N1183" s="119"/>
    </row>
    <row r="1184" spans="7:14">
      <c r="G1184" s="116"/>
      <c r="H1184" s="117"/>
      <c r="I1184" s="118"/>
      <c r="J1184" s="119"/>
      <c r="K1184" s="116"/>
      <c r="L1184" s="117"/>
      <c r="M1184" s="118"/>
      <c r="N1184" s="119"/>
    </row>
    <row r="1185" spans="7:14">
      <c r="G1185" s="116"/>
      <c r="H1185" s="117"/>
      <c r="I1185" s="118"/>
      <c r="J1185" s="119"/>
      <c r="K1185" s="116"/>
      <c r="L1185" s="117"/>
      <c r="M1185" s="118"/>
      <c r="N1185" s="119"/>
    </row>
    <row r="1186" spans="7:14">
      <c r="G1186" s="116"/>
      <c r="H1186" s="117"/>
      <c r="I1186" s="118"/>
      <c r="J1186" s="119"/>
      <c r="K1186" s="116"/>
      <c r="L1186" s="117"/>
      <c r="M1186" s="118"/>
      <c r="N1186" s="119"/>
    </row>
    <row r="1187" spans="7:14">
      <c r="G1187" s="116"/>
      <c r="H1187" s="117"/>
      <c r="I1187" s="118"/>
      <c r="J1187" s="119"/>
      <c r="K1187" s="116"/>
      <c r="L1187" s="117"/>
      <c r="M1187" s="118"/>
      <c r="N1187" s="119"/>
    </row>
    <row r="1188" spans="7:14">
      <c r="G1188" s="116"/>
      <c r="H1188" s="117"/>
      <c r="I1188" s="118"/>
      <c r="J1188" s="119"/>
      <c r="K1188" s="116"/>
      <c r="L1188" s="117"/>
      <c r="M1188" s="118"/>
      <c r="N1188" s="119"/>
    </row>
    <row r="1189" spans="7:14">
      <c r="G1189" s="116"/>
      <c r="H1189" s="117"/>
      <c r="I1189" s="118"/>
      <c r="J1189" s="119"/>
      <c r="K1189" s="116"/>
      <c r="L1189" s="117"/>
      <c r="M1189" s="118"/>
      <c r="N1189" s="119"/>
    </row>
    <row r="1190" spans="7:14">
      <c r="G1190" s="116"/>
      <c r="H1190" s="117"/>
      <c r="I1190" s="118"/>
      <c r="J1190" s="119"/>
      <c r="K1190" s="116"/>
      <c r="L1190" s="117"/>
      <c r="M1190" s="118"/>
      <c r="N1190" s="119"/>
    </row>
    <row r="1191" spans="7:14">
      <c r="G1191" s="116"/>
      <c r="H1191" s="117"/>
      <c r="I1191" s="118"/>
      <c r="J1191" s="119"/>
      <c r="K1191" s="116"/>
      <c r="L1191" s="117"/>
      <c r="M1191" s="118"/>
      <c r="N1191" s="119"/>
    </row>
    <row r="1192" spans="7:14">
      <c r="G1192" s="116"/>
      <c r="H1192" s="117"/>
      <c r="I1192" s="118"/>
      <c r="J1192" s="119"/>
      <c r="K1192" s="116"/>
      <c r="L1192" s="117"/>
      <c r="M1192" s="118"/>
      <c r="N1192" s="119"/>
    </row>
    <row r="1193" spans="7:14">
      <c r="G1193" s="116"/>
      <c r="H1193" s="117"/>
      <c r="I1193" s="118"/>
      <c r="J1193" s="119"/>
      <c r="K1193" s="116"/>
      <c r="L1193" s="117"/>
      <c r="M1193" s="118"/>
      <c r="N1193" s="119"/>
    </row>
    <row r="1194" spans="7:14">
      <c r="G1194" s="116"/>
      <c r="H1194" s="117"/>
      <c r="I1194" s="118"/>
      <c r="J1194" s="119"/>
      <c r="K1194" s="116"/>
      <c r="L1194" s="117"/>
      <c r="M1194" s="118"/>
      <c r="N1194" s="119"/>
    </row>
    <row r="1195" spans="7:14">
      <c r="G1195" s="116"/>
      <c r="H1195" s="117"/>
      <c r="I1195" s="118"/>
      <c r="J1195" s="119"/>
      <c r="K1195" s="116"/>
      <c r="L1195" s="117"/>
      <c r="M1195" s="118"/>
      <c r="N1195" s="119"/>
    </row>
    <row r="1196" spans="7:14">
      <c r="G1196" s="116"/>
      <c r="H1196" s="117"/>
      <c r="I1196" s="118"/>
      <c r="J1196" s="119"/>
      <c r="K1196" s="116"/>
      <c r="L1196" s="117"/>
      <c r="M1196" s="118"/>
      <c r="N1196" s="119"/>
    </row>
    <row r="1197" spans="7:14">
      <c r="G1197" s="116"/>
      <c r="H1197" s="117"/>
      <c r="I1197" s="118"/>
      <c r="J1197" s="119"/>
      <c r="K1197" s="116"/>
      <c r="L1197" s="117"/>
      <c r="M1197" s="118"/>
      <c r="N1197" s="119"/>
    </row>
    <row r="1198" spans="7:14">
      <c r="G1198" s="116"/>
      <c r="H1198" s="117"/>
      <c r="I1198" s="118"/>
      <c r="J1198" s="119"/>
      <c r="K1198" s="116"/>
      <c r="L1198" s="117"/>
      <c r="M1198" s="118"/>
      <c r="N1198" s="119"/>
    </row>
    <row r="1199" spans="7:14">
      <c r="G1199" s="116"/>
      <c r="H1199" s="117"/>
      <c r="I1199" s="118"/>
      <c r="J1199" s="119"/>
      <c r="K1199" s="116"/>
      <c r="L1199" s="117"/>
      <c r="M1199" s="118"/>
      <c r="N1199" s="119"/>
    </row>
    <row r="1200" spans="7:14">
      <c r="G1200" s="116"/>
      <c r="H1200" s="117"/>
      <c r="I1200" s="118"/>
      <c r="J1200" s="119"/>
      <c r="K1200" s="116"/>
      <c r="L1200" s="117"/>
      <c r="M1200" s="118"/>
      <c r="N1200" s="119"/>
    </row>
    <row r="1201" spans="7:14">
      <c r="G1201" s="116"/>
      <c r="H1201" s="117"/>
      <c r="I1201" s="118"/>
      <c r="J1201" s="119"/>
      <c r="K1201" s="116"/>
      <c r="L1201" s="117"/>
      <c r="M1201" s="118"/>
      <c r="N1201" s="119"/>
    </row>
    <row r="1202" spans="7:14">
      <c r="G1202" s="116"/>
      <c r="H1202" s="117"/>
      <c r="I1202" s="118"/>
      <c r="J1202" s="119"/>
      <c r="K1202" s="116"/>
      <c r="L1202" s="117"/>
      <c r="M1202" s="118"/>
      <c r="N1202" s="119"/>
    </row>
    <row r="1203" spans="7:14">
      <c r="G1203" s="116"/>
      <c r="H1203" s="117"/>
      <c r="I1203" s="118"/>
      <c r="J1203" s="119"/>
      <c r="K1203" s="116"/>
      <c r="L1203" s="117"/>
      <c r="M1203" s="118"/>
      <c r="N1203" s="119"/>
    </row>
    <row r="1204" spans="7:14">
      <c r="G1204" s="116"/>
      <c r="H1204" s="117"/>
      <c r="I1204" s="118"/>
      <c r="J1204" s="119"/>
      <c r="K1204" s="116"/>
      <c r="L1204" s="117"/>
      <c r="M1204" s="118"/>
      <c r="N1204" s="119"/>
    </row>
    <row r="1205" spans="7:14">
      <c r="G1205" s="116"/>
      <c r="H1205" s="117"/>
      <c r="I1205" s="118"/>
      <c r="J1205" s="119"/>
      <c r="K1205" s="116"/>
      <c r="L1205" s="117"/>
      <c r="M1205" s="118"/>
      <c r="N1205" s="119"/>
    </row>
    <row r="1206" spans="7:14">
      <c r="G1206" s="116"/>
      <c r="H1206" s="117"/>
      <c r="I1206" s="118"/>
      <c r="J1206" s="119"/>
      <c r="K1206" s="116"/>
      <c r="L1206" s="117"/>
      <c r="M1206" s="118"/>
      <c r="N1206" s="119"/>
    </row>
    <row r="1207" spans="7:14">
      <c r="G1207" s="116"/>
      <c r="H1207" s="117"/>
      <c r="I1207" s="118"/>
      <c r="J1207" s="119"/>
      <c r="K1207" s="116"/>
      <c r="L1207" s="117"/>
      <c r="M1207" s="118"/>
      <c r="N1207" s="119"/>
    </row>
    <row r="1208" spans="7:14">
      <c r="G1208" s="116"/>
      <c r="H1208" s="117"/>
      <c r="I1208" s="118"/>
      <c r="J1208" s="119"/>
      <c r="K1208" s="116"/>
      <c r="L1208" s="117"/>
      <c r="M1208" s="118"/>
      <c r="N1208" s="119"/>
    </row>
    <row r="1209" spans="7:14">
      <c r="G1209" s="116"/>
      <c r="H1209" s="117"/>
      <c r="I1209" s="118"/>
      <c r="J1209" s="119"/>
      <c r="K1209" s="116"/>
      <c r="L1209" s="117"/>
      <c r="M1209" s="118"/>
      <c r="N1209" s="119"/>
    </row>
    <row r="1210" spans="7:14">
      <c r="G1210" s="116"/>
      <c r="H1210" s="117"/>
      <c r="I1210" s="118"/>
      <c r="J1210" s="119"/>
      <c r="K1210" s="116"/>
      <c r="L1210" s="117"/>
      <c r="M1210" s="118"/>
      <c r="N1210" s="119"/>
    </row>
    <row r="1211" spans="7:14">
      <c r="G1211" s="116"/>
      <c r="H1211" s="117"/>
      <c r="I1211" s="118"/>
      <c r="J1211" s="119"/>
      <c r="K1211" s="116"/>
      <c r="L1211" s="117"/>
      <c r="M1211" s="118"/>
      <c r="N1211" s="119"/>
    </row>
    <row r="1212" spans="7:14">
      <c r="G1212" s="116"/>
      <c r="H1212" s="117"/>
      <c r="I1212" s="118"/>
      <c r="J1212" s="119"/>
      <c r="K1212" s="116"/>
      <c r="L1212" s="117"/>
      <c r="M1212" s="118"/>
      <c r="N1212" s="119"/>
    </row>
    <row r="1213" spans="7:14">
      <c r="G1213" s="116"/>
      <c r="H1213" s="117"/>
      <c r="I1213" s="118"/>
      <c r="J1213" s="119"/>
      <c r="K1213" s="116"/>
      <c r="L1213" s="117"/>
      <c r="M1213" s="118"/>
      <c r="N1213" s="119"/>
    </row>
    <row r="1214" spans="7:14">
      <c r="G1214" s="116"/>
      <c r="H1214" s="117"/>
      <c r="I1214" s="118"/>
      <c r="J1214" s="119"/>
      <c r="K1214" s="116"/>
      <c r="L1214" s="117"/>
      <c r="M1214" s="118"/>
      <c r="N1214" s="119"/>
    </row>
    <row r="1215" spans="7:14">
      <c r="G1215" s="116"/>
      <c r="H1215" s="117"/>
      <c r="I1215" s="118"/>
      <c r="J1215" s="119"/>
      <c r="K1215" s="116"/>
      <c r="L1215" s="117"/>
      <c r="M1215" s="118"/>
      <c r="N1215" s="119"/>
    </row>
    <row r="1216" spans="7:14">
      <c r="G1216" s="116"/>
      <c r="H1216" s="117"/>
      <c r="I1216" s="118"/>
      <c r="J1216" s="119"/>
      <c r="K1216" s="116"/>
      <c r="L1216" s="117"/>
      <c r="M1216" s="118"/>
      <c r="N1216" s="119"/>
    </row>
    <row r="1217" spans="7:14">
      <c r="G1217" s="116"/>
      <c r="H1217" s="117"/>
      <c r="I1217" s="118"/>
      <c r="J1217" s="119"/>
      <c r="K1217" s="116"/>
      <c r="L1217" s="117"/>
      <c r="M1217" s="118"/>
      <c r="N1217" s="119"/>
    </row>
    <row r="1218" spans="7:14">
      <c r="G1218" s="116"/>
      <c r="H1218" s="117"/>
      <c r="I1218" s="118"/>
      <c r="J1218" s="119"/>
      <c r="K1218" s="116"/>
      <c r="L1218" s="117"/>
      <c r="M1218" s="118"/>
      <c r="N1218" s="119"/>
    </row>
    <row r="1219" spans="7:14">
      <c r="G1219" s="116"/>
      <c r="H1219" s="117"/>
      <c r="I1219" s="118"/>
      <c r="J1219" s="119"/>
      <c r="K1219" s="116"/>
      <c r="L1219" s="117"/>
      <c r="M1219" s="118"/>
      <c r="N1219" s="119"/>
    </row>
    <row r="1220" spans="7:14">
      <c r="G1220" s="116"/>
      <c r="H1220" s="117"/>
      <c r="I1220" s="118"/>
      <c r="J1220" s="119"/>
      <c r="K1220" s="116"/>
      <c r="L1220" s="117"/>
      <c r="M1220" s="118"/>
      <c r="N1220" s="119"/>
    </row>
    <row r="1221" spans="7:14">
      <c r="G1221" s="116"/>
      <c r="H1221" s="117"/>
      <c r="I1221" s="118"/>
      <c r="J1221" s="119"/>
      <c r="K1221" s="116"/>
      <c r="L1221" s="117"/>
      <c r="M1221" s="118"/>
      <c r="N1221" s="119"/>
    </row>
    <row r="1222" spans="7:14">
      <c r="G1222" s="116"/>
      <c r="H1222" s="117"/>
      <c r="I1222" s="118"/>
      <c r="J1222" s="119"/>
      <c r="K1222" s="116"/>
      <c r="L1222" s="117"/>
      <c r="M1222" s="118"/>
      <c r="N1222" s="119"/>
    </row>
    <row r="1223" spans="7:14">
      <c r="G1223" s="116"/>
      <c r="H1223" s="117"/>
      <c r="I1223" s="118"/>
      <c r="J1223" s="119"/>
      <c r="K1223" s="116"/>
      <c r="L1223" s="117"/>
      <c r="M1223" s="118"/>
      <c r="N1223" s="119"/>
    </row>
    <row r="1224" spans="7:14">
      <c r="G1224" s="116"/>
      <c r="H1224" s="117"/>
      <c r="I1224" s="118"/>
      <c r="J1224" s="119"/>
      <c r="K1224" s="116"/>
      <c r="L1224" s="117"/>
      <c r="M1224" s="118"/>
      <c r="N1224" s="119"/>
    </row>
    <row r="1225" spans="7:14">
      <c r="G1225" s="116"/>
      <c r="H1225" s="117"/>
      <c r="I1225" s="118"/>
      <c r="J1225" s="119"/>
      <c r="K1225" s="116"/>
      <c r="L1225" s="117"/>
      <c r="M1225" s="118"/>
      <c r="N1225" s="119"/>
    </row>
    <row r="1226" spans="7:14">
      <c r="G1226" s="116"/>
      <c r="H1226" s="117"/>
      <c r="I1226" s="118"/>
      <c r="J1226" s="119"/>
      <c r="K1226" s="116"/>
      <c r="L1226" s="117"/>
      <c r="M1226" s="118"/>
      <c r="N1226" s="119"/>
    </row>
    <row r="1227" spans="7:14">
      <c r="G1227" s="116"/>
      <c r="H1227" s="117"/>
      <c r="I1227" s="118"/>
      <c r="J1227" s="119"/>
      <c r="K1227" s="116"/>
      <c r="L1227" s="117"/>
      <c r="M1227" s="118"/>
      <c r="N1227" s="119"/>
    </row>
    <row r="1228" spans="7:14">
      <c r="G1228" s="116"/>
      <c r="H1228" s="117"/>
      <c r="I1228" s="118"/>
      <c r="J1228" s="119"/>
      <c r="K1228" s="116"/>
      <c r="L1228" s="117"/>
      <c r="M1228" s="118"/>
      <c r="N1228" s="119"/>
    </row>
    <row r="1229" spans="7:14">
      <c r="G1229" s="116"/>
      <c r="H1229" s="117"/>
      <c r="I1229" s="118"/>
      <c r="J1229" s="119"/>
      <c r="K1229" s="116"/>
      <c r="L1229" s="117"/>
      <c r="M1229" s="118"/>
      <c r="N1229" s="119"/>
    </row>
    <row r="1230" spans="7:14">
      <c r="G1230" s="116"/>
      <c r="H1230" s="117"/>
      <c r="I1230" s="118"/>
      <c r="J1230" s="119"/>
      <c r="K1230" s="116"/>
      <c r="L1230" s="117"/>
      <c r="M1230" s="118"/>
      <c r="N1230" s="119"/>
    </row>
    <row r="1231" spans="7:14">
      <c r="G1231" s="116"/>
      <c r="H1231" s="117"/>
      <c r="I1231" s="118"/>
      <c r="J1231" s="119"/>
      <c r="K1231" s="116"/>
      <c r="L1231" s="117"/>
      <c r="M1231" s="118"/>
      <c r="N1231" s="119"/>
    </row>
    <row r="1232" spans="7:14">
      <c r="G1232" s="116"/>
      <c r="H1232" s="117"/>
      <c r="I1232" s="118"/>
      <c r="J1232" s="119"/>
      <c r="K1232" s="116"/>
      <c r="L1232" s="117"/>
      <c r="M1232" s="118"/>
      <c r="N1232" s="119"/>
    </row>
    <row r="1233" spans="7:14">
      <c r="G1233" s="116"/>
      <c r="H1233" s="117"/>
      <c r="I1233" s="118"/>
      <c r="J1233" s="119"/>
      <c r="K1233" s="116"/>
      <c r="L1233" s="117"/>
      <c r="M1233" s="118"/>
      <c r="N1233" s="119"/>
    </row>
    <row r="1234" spans="7:14">
      <c r="G1234" s="116"/>
      <c r="H1234" s="117"/>
      <c r="I1234" s="118"/>
      <c r="J1234" s="119"/>
      <c r="K1234" s="116"/>
      <c r="L1234" s="117"/>
      <c r="M1234" s="118"/>
      <c r="N1234" s="119"/>
    </row>
    <row r="1235" spans="7:14">
      <c r="G1235" s="116"/>
      <c r="H1235" s="117"/>
      <c r="I1235" s="118"/>
      <c r="J1235" s="119"/>
      <c r="K1235" s="116"/>
      <c r="L1235" s="117"/>
      <c r="M1235" s="118"/>
      <c r="N1235" s="119"/>
    </row>
    <row r="1236" spans="7:14">
      <c r="G1236" s="116"/>
      <c r="H1236" s="117"/>
      <c r="I1236" s="118"/>
      <c r="J1236" s="119"/>
      <c r="K1236" s="116"/>
      <c r="L1236" s="117"/>
      <c r="M1236" s="118"/>
      <c r="N1236" s="119"/>
    </row>
    <row r="1237" spans="7:14">
      <c r="G1237" s="116"/>
      <c r="H1237" s="117"/>
      <c r="I1237" s="118"/>
      <c r="J1237" s="119"/>
      <c r="K1237" s="116"/>
      <c r="L1237" s="117"/>
      <c r="M1237" s="118"/>
      <c r="N1237" s="119"/>
    </row>
    <row r="1238" spans="7:14">
      <c r="G1238" s="116"/>
      <c r="H1238" s="117"/>
      <c r="I1238" s="118"/>
      <c r="J1238" s="119"/>
      <c r="K1238" s="116"/>
      <c r="L1238" s="117"/>
      <c r="M1238" s="118"/>
      <c r="N1238" s="119"/>
    </row>
    <row r="1239" spans="7:14">
      <c r="G1239" s="116"/>
      <c r="H1239" s="117"/>
      <c r="I1239" s="118"/>
      <c r="J1239" s="119"/>
      <c r="K1239" s="116"/>
      <c r="L1239" s="117"/>
      <c r="M1239" s="118"/>
      <c r="N1239" s="119"/>
    </row>
    <row r="1240" spans="7:14">
      <c r="G1240" s="116"/>
      <c r="H1240" s="117"/>
      <c r="I1240" s="118"/>
      <c r="J1240" s="119"/>
      <c r="K1240" s="116"/>
      <c r="L1240" s="117"/>
      <c r="M1240" s="118"/>
      <c r="N1240" s="119"/>
    </row>
    <row r="1241" spans="7:14">
      <c r="G1241" s="116"/>
      <c r="H1241" s="117"/>
      <c r="I1241" s="118"/>
      <c r="J1241" s="119"/>
      <c r="K1241" s="116"/>
      <c r="L1241" s="117"/>
      <c r="M1241" s="118"/>
      <c r="N1241" s="119"/>
    </row>
    <row r="1242" spans="7:14">
      <c r="G1242" s="116"/>
      <c r="H1242" s="117"/>
      <c r="I1242" s="118"/>
      <c r="J1242" s="119"/>
      <c r="K1242" s="116"/>
      <c r="L1242" s="117"/>
      <c r="M1242" s="118"/>
      <c r="N1242" s="119"/>
    </row>
    <row r="1243" spans="7:14">
      <c r="G1243" s="116"/>
      <c r="H1243" s="117"/>
      <c r="I1243" s="118"/>
      <c r="J1243" s="119"/>
      <c r="K1243" s="116"/>
      <c r="L1243" s="117"/>
      <c r="M1243" s="118"/>
      <c r="N1243" s="119"/>
    </row>
    <row r="1244" spans="7:14">
      <c r="G1244" s="116"/>
      <c r="H1244" s="117"/>
      <c r="I1244" s="118"/>
      <c r="J1244" s="119"/>
      <c r="K1244" s="116"/>
      <c r="L1244" s="117"/>
      <c r="M1244" s="118"/>
      <c r="N1244" s="119"/>
    </row>
    <row r="1245" spans="7:14">
      <c r="G1245" s="116"/>
      <c r="H1245" s="117"/>
      <c r="I1245" s="118"/>
      <c r="J1245" s="119"/>
      <c r="K1245" s="116"/>
      <c r="L1245" s="117"/>
      <c r="M1245" s="118"/>
      <c r="N1245" s="119"/>
    </row>
    <row r="1246" spans="7:14">
      <c r="G1246" s="116"/>
      <c r="H1246" s="117"/>
      <c r="I1246" s="118"/>
      <c r="J1246" s="119"/>
      <c r="K1246" s="116"/>
      <c r="L1246" s="117"/>
      <c r="M1246" s="118"/>
      <c r="N1246" s="119"/>
    </row>
    <row r="1247" spans="7:14">
      <c r="G1247" s="116"/>
      <c r="H1247" s="117"/>
      <c r="I1247" s="118"/>
      <c r="J1247" s="119"/>
      <c r="K1247" s="116"/>
      <c r="L1247" s="117"/>
      <c r="M1247" s="118"/>
      <c r="N1247" s="119"/>
    </row>
    <row r="1248" spans="7:14">
      <c r="G1248" s="116"/>
      <c r="H1248" s="117"/>
      <c r="I1248" s="118"/>
      <c r="J1248" s="119"/>
      <c r="K1248" s="116"/>
      <c r="L1248" s="117"/>
      <c r="M1248" s="118"/>
      <c r="N1248" s="119"/>
    </row>
    <row r="1249" spans="7:14">
      <c r="G1249" s="116"/>
      <c r="H1249" s="117"/>
      <c r="I1249" s="118"/>
      <c r="J1249" s="119"/>
      <c r="K1249" s="116"/>
      <c r="L1249" s="117"/>
      <c r="M1249" s="118"/>
      <c r="N1249" s="119"/>
    </row>
    <row r="1250" spans="7:14">
      <c r="G1250" s="116"/>
      <c r="H1250" s="117"/>
      <c r="I1250" s="118"/>
      <c r="J1250" s="119"/>
      <c r="K1250" s="116"/>
      <c r="L1250" s="117"/>
      <c r="M1250" s="118"/>
      <c r="N1250" s="119"/>
    </row>
    <row r="1251" spans="7:14">
      <c r="G1251" s="116"/>
      <c r="H1251" s="117"/>
      <c r="I1251" s="118"/>
      <c r="J1251" s="119"/>
      <c r="K1251" s="116"/>
      <c r="L1251" s="117"/>
      <c r="M1251" s="118"/>
      <c r="N1251" s="119"/>
    </row>
    <row r="1252" spans="7:14">
      <c r="G1252" s="116"/>
      <c r="H1252" s="117"/>
      <c r="I1252" s="118"/>
      <c r="J1252" s="119"/>
      <c r="K1252" s="116"/>
      <c r="L1252" s="117"/>
      <c r="M1252" s="118"/>
      <c r="N1252" s="119"/>
    </row>
    <row r="1253" spans="7:14">
      <c r="G1253" s="116"/>
      <c r="H1253" s="117"/>
      <c r="I1253" s="118"/>
      <c r="J1253" s="119"/>
      <c r="K1253" s="116"/>
      <c r="L1253" s="117"/>
      <c r="M1253" s="118"/>
      <c r="N1253" s="119"/>
    </row>
    <row r="1254" spans="7:14">
      <c r="G1254" s="116"/>
      <c r="H1254" s="117"/>
      <c r="I1254" s="118"/>
      <c r="J1254" s="119"/>
      <c r="K1254" s="116"/>
      <c r="L1254" s="117"/>
      <c r="M1254" s="118"/>
      <c r="N1254" s="119"/>
    </row>
    <row r="1255" spans="7:14">
      <c r="G1255" s="116"/>
      <c r="H1255" s="117"/>
      <c r="I1255" s="118"/>
      <c r="J1255" s="119"/>
      <c r="K1255" s="116"/>
      <c r="L1255" s="117"/>
      <c r="M1255" s="118"/>
      <c r="N1255" s="119"/>
    </row>
    <row r="1256" spans="7:14">
      <c r="G1256" s="116"/>
      <c r="H1256" s="117"/>
      <c r="I1256" s="118"/>
      <c r="J1256" s="119"/>
      <c r="K1256" s="116"/>
      <c r="L1256" s="117"/>
      <c r="M1256" s="118"/>
      <c r="N1256" s="119"/>
    </row>
    <row r="1257" spans="7:14">
      <c r="G1257" s="116"/>
      <c r="H1257" s="117"/>
      <c r="I1257" s="118"/>
      <c r="J1257" s="119"/>
      <c r="K1257" s="116"/>
      <c r="L1257" s="117"/>
      <c r="M1257" s="118"/>
      <c r="N1257" s="119"/>
    </row>
    <row r="1258" spans="7:14">
      <c r="G1258" s="116"/>
      <c r="H1258" s="117"/>
      <c r="I1258" s="118"/>
      <c r="J1258" s="119"/>
      <c r="K1258" s="116"/>
      <c r="L1258" s="117"/>
      <c r="M1258" s="118"/>
      <c r="N1258" s="119"/>
    </row>
    <row r="1259" spans="7:14">
      <c r="G1259" s="116"/>
      <c r="H1259" s="117"/>
      <c r="I1259" s="118"/>
      <c r="J1259" s="119"/>
      <c r="K1259" s="116"/>
      <c r="L1259" s="117"/>
      <c r="M1259" s="118"/>
      <c r="N1259" s="119"/>
    </row>
    <row r="1260" spans="7:14">
      <c r="G1260" s="116"/>
      <c r="H1260" s="117"/>
      <c r="I1260" s="118"/>
      <c r="J1260" s="119"/>
      <c r="K1260" s="116"/>
      <c r="L1260" s="117"/>
      <c r="M1260" s="118"/>
      <c r="N1260" s="119"/>
    </row>
    <row r="1261" spans="7:14">
      <c r="G1261" s="116"/>
      <c r="H1261" s="117"/>
      <c r="I1261" s="118"/>
      <c r="J1261" s="119"/>
      <c r="K1261" s="116"/>
      <c r="L1261" s="117"/>
      <c r="M1261" s="118"/>
      <c r="N1261" s="119"/>
    </row>
    <row r="1262" spans="7:14">
      <c r="G1262" s="116"/>
      <c r="H1262" s="117"/>
      <c r="I1262" s="118"/>
      <c r="J1262" s="119"/>
      <c r="K1262" s="116"/>
      <c r="L1262" s="117"/>
      <c r="M1262" s="118"/>
      <c r="N1262" s="119"/>
    </row>
    <row r="1263" spans="7:14">
      <c r="G1263" s="116"/>
      <c r="H1263" s="117"/>
      <c r="I1263" s="118"/>
      <c r="J1263" s="119"/>
      <c r="K1263" s="116"/>
      <c r="L1263" s="117"/>
      <c r="M1263" s="118"/>
      <c r="N1263" s="119"/>
    </row>
    <row r="1264" spans="7:14">
      <c r="G1264" s="116"/>
      <c r="H1264" s="117"/>
      <c r="I1264" s="118"/>
      <c r="J1264" s="119"/>
      <c r="K1264" s="116"/>
      <c r="L1264" s="117"/>
      <c r="M1264" s="118"/>
      <c r="N1264" s="119"/>
    </row>
    <row r="1265" spans="7:14">
      <c r="G1265" s="116"/>
      <c r="H1265" s="117"/>
      <c r="I1265" s="118"/>
      <c r="J1265" s="119"/>
      <c r="K1265" s="116"/>
      <c r="L1265" s="117"/>
      <c r="M1265" s="118"/>
      <c r="N1265" s="119"/>
    </row>
    <row r="1266" spans="7:14">
      <c r="G1266" s="116"/>
      <c r="H1266" s="117"/>
      <c r="I1266" s="118"/>
      <c r="J1266" s="119"/>
      <c r="K1266" s="116"/>
      <c r="L1266" s="117"/>
      <c r="M1266" s="118"/>
      <c r="N1266" s="119"/>
    </row>
    <row r="1267" spans="7:14">
      <c r="G1267" s="116"/>
      <c r="H1267" s="117"/>
      <c r="I1267" s="118"/>
      <c r="J1267" s="119"/>
      <c r="K1267" s="116"/>
      <c r="L1267" s="117"/>
      <c r="M1267" s="118"/>
      <c r="N1267" s="119"/>
    </row>
    <row r="1268" spans="7:14">
      <c r="G1268" s="116"/>
      <c r="H1268" s="117"/>
      <c r="I1268" s="118"/>
      <c r="J1268" s="119"/>
      <c r="K1268" s="116"/>
      <c r="L1268" s="117"/>
      <c r="M1268" s="118"/>
      <c r="N1268" s="119"/>
    </row>
    <row r="1269" spans="7:14">
      <c r="G1269" s="116"/>
      <c r="H1269" s="117"/>
      <c r="I1269" s="118"/>
      <c r="J1269" s="119"/>
      <c r="K1269" s="116"/>
      <c r="L1269" s="117"/>
      <c r="M1269" s="118"/>
      <c r="N1269" s="119"/>
    </row>
    <row r="1270" spans="7:14">
      <c r="G1270" s="116"/>
      <c r="H1270" s="117"/>
      <c r="I1270" s="118"/>
      <c r="J1270" s="119"/>
      <c r="K1270" s="116"/>
      <c r="L1270" s="117"/>
      <c r="M1270" s="118"/>
      <c r="N1270" s="119"/>
    </row>
    <row r="1271" spans="7:14">
      <c r="G1271" s="116"/>
      <c r="H1271" s="117"/>
      <c r="I1271" s="118"/>
      <c r="J1271" s="119"/>
      <c r="K1271" s="116"/>
      <c r="L1271" s="117"/>
      <c r="M1271" s="118"/>
      <c r="N1271" s="119"/>
    </row>
    <row r="1272" spans="7:14">
      <c r="G1272" s="116"/>
      <c r="H1272" s="117"/>
      <c r="I1272" s="118"/>
      <c r="J1272" s="119"/>
      <c r="K1272" s="116"/>
      <c r="L1272" s="117"/>
      <c r="M1272" s="118"/>
      <c r="N1272" s="119"/>
    </row>
    <row r="1273" spans="7:14">
      <c r="G1273" s="116"/>
      <c r="H1273" s="117"/>
      <c r="I1273" s="118"/>
      <c r="J1273" s="119"/>
      <c r="K1273" s="116"/>
      <c r="L1273" s="117"/>
      <c r="M1273" s="118"/>
      <c r="N1273" s="119"/>
    </row>
    <row r="1274" spans="7:14">
      <c r="G1274" s="116"/>
      <c r="H1274" s="117"/>
      <c r="I1274" s="118"/>
      <c r="J1274" s="119"/>
      <c r="K1274" s="116"/>
      <c r="L1274" s="117"/>
      <c r="M1274" s="118"/>
      <c r="N1274" s="119"/>
    </row>
    <row r="1275" spans="7:14">
      <c r="G1275" s="116"/>
      <c r="H1275" s="117"/>
      <c r="I1275" s="118"/>
      <c r="J1275" s="119"/>
      <c r="K1275" s="116"/>
      <c r="L1275" s="117"/>
      <c r="M1275" s="118"/>
      <c r="N1275" s="119"/>
    </row>
    <row r="1276" spans="7:14">
      <c r="G1276" s="116"/>
      <c r="H1276" s="117"/>
      <c r="I1276" s="118"/>
      <c r="J1276" s="119"/>
      <c r="K1276" s="116"/>
      <c r="L1276" s="117"/>
      <c r="M1276" s="118"/>
      <c r="N1276" s="119"/>
    </row>
    <row r="1277" spans="7:14">
      <c r="G1277" s="116"/>
      <c r="H1277" s="117"/>
      <c r="I1277" s="118"/>
      <c r="J1277" s="119"/>
      <c r="K1277" s="116"/>
      <c r="L1277" s="117"/>
      <c r="M1277" s="118"/>
      <c r="N1277" s="119"/>
    </row>
    <row r="1278" spans="7:14">
      <c r="G1278" s="116"/>
      <c r="H1278" s="117"/>
      <c r="I1278" s="118"/>
      <c r="J1278" s="119"/>
      <c r="K1278" s="116"/>
      <c r="L1278" s="117"/>
      <c r="M1278" s="118"/>
      <c r="N1278" s="119"/>
    </row>
    <row r="1279" spans="7:14">
      <c r="G1279" s="116"/>
      <c r="H1279" s="117"/>
      <c r="I1279" s="118"/>
      <c r="J1279" s="119"/>
      <c r="K1279" s="116"/>
      <c r="L1279" s="117"/>
      <c r="M1279" s="118"/>
      <c r="N1279" s="119"/>
    </row>
    <row r="1280" spans="7:14">
      <c r="G1280" s="116"/>
      <c r="H1280" s="117"/>
      <c r="I1280" s="118"/>
      <c r="J1280" s="119"/>
      <c r="K1280" s="116"/>
      <c r="L1280" s="117"/>
      <c r="M1280" s="118"/>
      <c r="N1280" s="119"/>
    </row>
    <row r="1281" spans="7:14">
      <c r="G1281" s="116"/>
      <c r="H1281" s="117"/>
      <c r="I1281" s="118"/>
      <c r="J1281" s="119"/>
      <c r="K1281" s="116"/>
      <c r="L1281" s="117"/>
      <c r="M1281" s="118"/>
      <c r="N1281" s="119"/>
    </row>
    <row r="1282" spans="7:14">
      <c r="G1282" s="116"/>
      <c r="H1282" s="117"/>
      <c r="I1282" s="118"/>
      <c r="J1282" s="119"/>
      <c r="K1282" s="116"/>
      <c r="L1282" s="117"/>
      <c r="M1282" s="118"/>
      <c r="N1282" s="119"/>
    </row>
    <row r="1283" spans="7:14">
      <c r="G1283" s="116"/>
      <c r="H1283" s="117"/>
      <c r="I1283" s="118"/>
      <c r="J1283" s="119"/>
      <c r="K1283" s="116"/>
      <c r="L1283" s="117"/>
      <c r="M1283" s="118"/>
      <c r="N1283" s="119"/>
    </row>
    <row r="1284" spans="7:14">
      <c r="G1284" s="116"/>
      <c r="H1284" s="117"/>
      <c r="I1284" s="118"/>
      <c r="J1284" s="119"/>
      <c r="K1284" s="116"/>
      <c r="L1284" s="117"/>
      <c r="M1284" s="118"/>
      <c r="N1284" s="119"/>
    </row>
    <row r="1285" spans="7:14">
      <c r="G1285" s="116"/>
      <c r="H1285" s="117"/>
      <c r="I1285" s="118"/>
      <c r="J1285" s="119"/>
      <c r="K1285" s="116"/>
      <c r="L1285" s="117"/>
      <c r="M1285" s="118"/>
      <c r="N1285" s="119"/>
    </row>
    <row r="1286" spans="7:14">
      <c r="G1286" s="116"/>
      <c r="H1286" s="117"/>
      <c r="I1286" s="118"/>
      <c r="J1286" s="119"/>
      <c r="K1286" s="116"/>
      <c r="L1286" s="117"/>
      <c r="M1286" s="118"/>
      <c r="N1286" s="119"/>
    </row>
    <row r="1287" spans="7:14">
      <c r="G1287" s="116"/>
      <c r="H1287" s="117"/>
      <c r="I1287" s="118"/>
      <c r="J1287" s="119"/>
      <c r="K1287" s="116"/>
      <c r="L1287" s="117"/>
      <c r="M1287" s="118"/>
      <c r="N1287" s="119"/>
    </row>
    <row r="1288" spans="7:14">
      <c r="G1288" s="116"/>
      <c r="H1288" s="117"/>
      <c r="I1288" s="118"/>
      <c r="J1288" s="119"/>
      <c r="K1288" s="116"/>
      <c r="L1288" s="117"/>
      <c r="M1288" s="118"/>
      <c r="N1288" s="119"/>
    </row>
    <row r="1289" spans="7:14">
      <c r="G1289" s="116"/>
      <c r="H1289" s="117"/>
      <c r="I1289" s="118"/>
      <c r="J1289" s="119"/>
      <c r="K1289" s="116"/>
      <c r="L1289" s="117"/>
      <c r="M1289" s="118"/>
      <c r="N1289" s="119"/>
    </row>
    <row r="1290" spans="7:14">
      <c r="G1290" s="116"/>
      <c r="H1290" s="117"/>
      <c r="I1290" s="118"/>
      <c r="J1290" s="119"/>
      <c r="K1290" s="116"/>
      <c r="L1290" s="117"/>
      <c r="M1290" s="118"/>
      <c r="N1290" s="119"/>
    </row>
    <row r="1291" spans="7:14">
      <c r="G1291" s="116"/>
      <c r="H1291" s="117"/>
      <c r="I1291" s="118"/>
      <c r="J1291" s="119"/>
      <c r="K1291" s="116"/>
      <c r="L1291" s="117"/>
      <c r="M1291" s="118"/>
      <c r="N1291" s="119"/>
    </row>
    <row r="1292" spans="7:14">
      <c r="G1292" s="116"/>
      <c r="H1292" s="117"/>
      <c r="I1292" s="118"/>
      <c r="J1292" s="119"/>
      <c r="K1292" s="116"/>
      <c r="L1292" s="117"/>
      <c r="M1292" s="118"/>
      <c r="N1292" s="119"/>
    </row>
    <row r="1293" spans="7:14">
      <c r="G1293" s="116"/>
      <c r="H1293" s="117"/>
      <c r="I1293" s="118"/>
      <c r="J1293" s="119"/>
      <c r="K1293" s="116"/>
      <c r="L1293" s="117"/>
      <c r="M1293" s="118"/>
      <c r="N1293" s="119"/>
    </row>
    <row r="1294" spans="7:14">
      <c r="G1294" s="116"/>
      <c r="H1294" s="117"/>
      <c r="I1294" s="118"/>
      <c r="J1294" s="119"/>
      <c r="K1294" s="116"/>
      <c r="L1294" s="117"/>
      <c r="M1294" s="118"/>
      <c r="N1294" s="119"/>
    </row>
    <row r="1295" spans="7:14">
      <c r="G1295" s="116"/>
      <c r="H1295" s="117"/>
      <c r="I1295" s="118"/>
      <c r="J1295" s="119"/>
      <c r="K1295" s="116"/>
      <c r="L1295" s="117"/>
      <c r="M1295" s="118"/>
      <c r="N1295" s="119"/>
    </row>
    <row r="1296" spans="7:14">
      <c r="G1296" s="116"/>
      <c r="H1296" s="117"/>
      <c r="I1296" s="118"/>
      <c r="J1296" s="119"/>
      <c r="K1296" s="116"/>
      <c r="L1296" s="117"/>
      <c r="M1296" s="118"/>
      <c r="N1296" s="119"/>
    </row>
    <row r="1297" spans="7:14">
      <c r="G1297" s="116"/>
      <c r="H1297" s="117"/>
      <c r="I1297" s="118"/>
      <c r="J1297" s="119"/>
      <c r="K1297" s="116"/>
      <c r="L1297" s="117"/>
      <c r="M1297" s="118"/>
      <c r="N1297" s="119"/>
    </row>
    <row r="1298" spans="7:14">
      <c r="G1298" s="116"/>
      <c r="H1298" s="117"/>
      <c r="I1298" s="118"/>
      <c r="J1298" s="119"/>
      <c r="K1298" s="116"/>
      <c r="L1298" s="117"/>
      <c r="M1298" s="118"/>
      <c r="N1298" s="119"/>
    </row>
    <row r="1299" spans="7:14">
      <c r="G1299" s="116"/>
      <c r="H1299" s="117"/>
      <c r="I1299" s="118"/>
      <c r="J1299" s="119"/>
      <c r="K1299" s="116"/>
      <c r="L1299" s="117"/>
      <c r="M1299" s="118"/>
      <c r="N1299" s="119"/>
    </row>
    <row r="1300" spans="7:14">
      <c r="G1300" s="116"/>
      <c r="H1300" s="117"/>
      <c r="I1300" s="118"/>
      <c r="J1300" s="119"/>
      <c r="K1300" s="116"/>
      <c r="L1300" s="117"/>
      <c r="M1300" s="118"/>
      <c r="N1300" s="119"/>
    </row>
    <row r="1301" spans="7:14">
      <c r="G1301" s="116"/>
      <c r="H1301" s="117"/>
      <c r="I1301" s="118"/>
      <c r="J1301" s="119"/>
      <c r="K1301" s="116"/>
      <c r="L1301" s="117"/>
      <c r="M1301" s="118"/>
      <c r="N1301" s="119"/>
    </row>
    <row r="1302" spans="7:14">
      <c r="G1302" s="116"/>
      <c r="H1302" s="117"/>
      <c r="I1302" s="118"/>
      <c r="J1302" s="119"/>
      <c r="K1302" s="116"/>
      <c r="L1302" s="117"/>
      <c r="M1302" s="118"/>
      <c r="N1302" s="119"/>
    </row>
    <row r="1303" spans="7:14">
      <c r="G1303" s="116"/>
      <c r="H1303" s="117"/>
      <c r="I1303" s="118"/>
      <c r="J1303" s="119"/>
      <c r="K1303" s="116"/>
      <c r="L1303" s="117"/>
      <c r="M1303" s="118"/>
      <c r="N1303" s="119"/>
    </row>
    <row r="1304" spans="7:14">
      <c r="G1304" s="116"/>
      <c r="H1304" s="117"/>
      <c r="I1304" s="118"/>
      <c r="J1304" s="119"/>
      <c r="K1304" s="116"/>
      <c r="L1304" s="117"/>
      <c r="M1304" s="118"/>
      <c r="N1304" s="119"/>
    </row>
    <row r="1305" spans="7:14">
      <c r="G1305" s="116"/>
      <c r="H1305" s="117"/>
      <c r="I1305" s="118"/>
      <c r="J1305" s="119"/>
      <c r="K1305" s="116"/>
      <c r="L1305" s="117"/>
      <c r="M1305" s="118"/>
      <c r="N1305" s="119"/>
    </row>
    <row r="1306" spans="7:14">
      <c r="G1306" s="116"/>
      <c r="H1306" s="117"/>
      <c r="I1306" s="118"/>
      <c r="J1306" s="119"/>
      <c r="K1306" s="116"/>
      <c r="L1306" s="117"/>
      <c r="M1306" s="118"/>
      <c r="N1306" s="119"/>
    </row>
    <row r="1307" spans="7:14">
      <c r="G1307" s="116"/>
      <c r="H1307" s="117"/>
      <c r="I1307" s="118"/>
      <c r="J1307" s="119"/>
      <c r="K1307" s="116"/>
      <c r="L1307" s="117"/>
      <c r="M1307" s="118"/>
      <c r="N1307" s="119"/>
    </row>
    <row r="1308" spans="7:14">
      <c r="G1308" s="116"/>
      <c r="H1308" s="117"/>
      <c r="I1308" s="118"/>
      <c r="J1308" s="119"/>
      <c r="K1308" s="116"/>
      <c r="L1308" s="117"/>
      <c r="M1308" s="118"/>
      <c r="N1308" s="119"/>
    </row>
    <row r="1309" spans="7:14">
      <c r="G1309" s="116"/>
      <c r="H1309" s="117"/>
      <c r="I1309" s="118"/>
      <c r="J1309" s="119"/>
      <c r="K1309" s="116"/>
      <c r="L1309" s="117"/>
      <c r="M1309" s="118"/>
      <c r="N1309" s="119"/>
    </row>
    <row r="1310" spans="7:14">
      <c r="G1310" s="116"/>
      <c r="H1310" s="117"/>
      <c r="I1310" s="118"/>
      <c r="J1310" s="119"/>
      <c r="K1310" s="116"/>
      <c r="L1310" s="117"/>
      <c r="M1310" s="118"/>
      <c r="N1310" s="119"/>
    </row>
    <row r="1311" spans="7:14">
      <c r="G1311" s="116"/>
      <c r="H1311" s="117"/>
      <c r="I1311" s="118"/>
      <c r="J1311" s="119"/>
      <c r="K1311" s="116"/>
      <c r="L1311" s="117"/>
      <c r="M1311" s="118"/>
      <c r="N1311" s="119"/>
    </row>
    <row r="1312" spans="7:14">
      <c r="G1312" s="116"/>
      <c r="H1312" s="117"/>
      <c r="I1312" s="118"/>
      <c r="J1312" s="119"/>
      <c r="K1312" s="116"/>
      <c r="L1312" s="117"/>
      <c r="M1312" s="118"/>
      <c r="N1312" s="119"/>
    </row>
    <row r="1313" spans="7:14">
      <c r="G1313" s="116"/>
      <c r="H1313" s="117"/>
      <c r="I1313" s="118"/>
      <c r="J1313" s="119"/>
      <c r="K1313" s="116"/>
      <c r="L1313" s="117"/>
      <c r="M1313" s="118"/>
      <c r="N1313" s="119"/>
    </row>
    <row r="1314" spans="7:14">
      <c r="G1314" s="116"/>
      <c r="H1314" s="117"/>
      <c r="I1314" s="118"/>
      <c r="J1314" s="119"/>
      <c r="K1314" s="116"/>
      <c r="L1314" s="117"/>
      <c r="M1314" s="118"/>
      <c r="N1314" s="119"/>
    </row>
    <row r="1315" spans="7:14">
      <c r="G1315" s="116"/>
      <c r="H1315" s="117"/>
      <c r="I1315" s="118"/>
      <c r="J1315" s="119"/>
      <c r="K1315" s="116"/>
      <c r="L1315" s="117"/>
      <c r="M1315" s="118"/>
      <c r="N1315" s="119"/>
    </row>
    <row r="1316" spans="7:14">
      <c r="G1316" s="116"/>
      <c r="H1316" s="117"/>
      <c r="I1316" s="118"/>
      <c r="J1316" s="119"/>
      <c r="K1316" s="116"/>
      <c r="L1316" s="117"/>
      <c r="M1316" s="118"/>
      <c r="N1316" s="119"/>
    </row>
    <row r="1317" spans="7:14">
      <c r="G1317" s="116"/>
      <c r="H1317" s="117"/>
      <c r="I1317" s="118"/>
      <c r="J1317" s="119"/>
      <c r="K1317" s="116"/>
      <c r="L1317" s="117"/>
      <c r="M1317" s="118"/>
      <c r="N1317" s="119"/>
    </row>
    <row r="1318" spans="7:14">
      <c r="G1318" s="116"/>
      <c r="H1318" s="117"/>
      <c r="I1318" s="118"/>
      <c r="J1318" s="119"/>
      <c r="K1318" s="116"/>
      <c r="L1318" s="117"/>
      <c r="M1318" s="118"/>
      <c r="N1318" s="119"/>
    </row>
    <row r="1319" spans="7:14">
      <c r="G1319" s="116"/>
      <c r="H1319" s="117"/>
      <c r="I1319" s="118"/>
      <c r="J1319" s="119"/>
      <c r="K1319" s="116"/>
      <c r="L1319" s="117"/>
      <c r="M1319" s="118"/>
      <c r="N1319" s="119"/>
    </row>
    <row r="1320" spans="7:14">
      <c r="G1320" s="116"/>
      <c r="H1320" s="117"/>
      <c r="I1320" s="118"/>
      <c r="J1320" s="119"/>
      <c r="K1320" s="116"/>
      <c r="L1320" s="117"/>
      <c r="M1320" s="118"/>
      <c r="N1320" s="119"/>
    </row>
    <row r="1321" spans="7:14">
      <c r="G1321" s="116"/>
      <c r="H1321" s="117"/>
      <c r="I1321" s="118"/>
      <c r="J1321" s="119"/>
      <c r="K1321" s="116"/>
      <c r="L1321" s="117"/>
      <c r="M1321" s="118"/>
      <c r="N1321" s="119"/>
    </row>
    <row r="1322" spans="7:14">
      <c r="G1322" s="116"/>
      <c r="H1322" s="117"/>
      <c r="I1322" s="118"/>
      <c r="J1322" s="119"/>
      <c r="K1322" s="116"/>
      <c r="L1322" s="117"/>
      <c r="M1322" s="118"/>
      <c r="N1322" s="119"/>
    </row>
    <row r="1323" spans="7:14">
      <c r="G1323" s="116"/>
      <c r="H1323" s="117"/>
      <c r="I1323" s="118"/>
      <c r="J1323" s="119"/>
      <c r="K1323" s="116"/>
      <c r="L1323" s="117"/>
      <c r="M1323" s="118"/>
      <c r="N1323" s="119"/>
    </row>
    <row r="1324" spans="7:14">
      <c r="G1324" s="116"/>
      <c r="H1324" s="117"/>
      <c r="I1324" s="118"/>
      <c r="J1324" s="119"/>
      <c r="K1324" s="116"/>
      <c r="L1324" s="117"/>
      <c r="M1324" s="118"/>
      <c r="N1324" s="119"/>
    </row>
    <row r="1325" spans="7:14">
      <c r="G1325" s="116"/>
      <c r="H1325" s="117"/>
      <c r="I1325" s="118"/>
      <c r="J1325" s="119"/>
      <c r="K1325" s="116"/>
      <c r="L1325" s="117"/>
      <c r="M1325" s="118"/>
      <c r="N1325" s="119"/>
    </row>
    <row r="1326" spans="7:14">
      <c r="G1326" s="116"/>
      <c r="H1326" s="117"/>
      <c r="I1326" s="118"/>
      <c r="J1326" s="119"/>
      <c r="K1326" s="116"/>
      <c r="L1326" s="117"/>
      <c r="M1326" s="118"/>
      <c r="N1326" s="119"/>
    </row>
    <row r="1327" spans="7:14">
      <c r="G1327" s="116"/>
      <c r="H1327" s="117"/>
      <c r="I1327" s="118"/>
      <c r="J1327" s="119"/>
      <c r="K1327" s="116"/>
      <c r="L1327" s="117"/>
      <c r="M1327" s="118"/>
      <c r="N1327" s="119"/>
    </row>
    <row r="1328" spans="7:14">
      <c r="G1328" s="116"/>
      <c r="H1328" s="117"/>
      <c r="I1328" s="118"/>
      <c r="J1328" s="119"/>
      <c r="K1328" s="116"/>
      <c r="L1328" s="117"/>
      <c r="M1328" s="118"/>
      <c r="N1328" s="119"/>
    </row>
    <row r="1329" spans="7:14">
      <c r="G1329" s="116"/>
      <c r="H1329" s="117"/>
      <c r="I1329" s="118"/>
      <c r="J1329" s="119"/>
      <c r="K1329" s="116"/>
      <c r="L1329" s="117"/>
      <c r="M1329" s="118"/>
      <c r="N1329" s="119"/>
    </row>
    <row r="1330" spans="7:14">
      <c r="G1330" s="116"/>
      <c r="H1330" s="117"/>
      <c r="I1330" s="118"/>
      <c r="J1330" s="119"/>
      <c r="K1330" s="116"/>
      <c r="L1330" s="117"/>
      <c r="M1330" s="118"/>
      <c r="N1330" s="119"/>
    </row>
    <row r="1331" spans="7:14">
      <c r="G1331" s="116"/>
      <c r="H1331" s="117"/>
      <c r="I1331" s="118"/>
      <c r="J1331" s="119"/>
      <c r="K1331" s="116"/>
      <c r="L1331" s="117"/>
      <c r="M1331" s="118"/>
      <c r="N1331" s="119"/>
    </row>
    <row r="1332" spans="7:14">
      <c r="G1332" s="116"/>
      <c r="H1332" s="117"/>
      <c r="I1332" s="118"/>
      <c r="J1332" s="119"/>
      <c r="K1332" s="116"/>
      <c r="L1332" s="117"/>
      <c r="M1332" s="118"/>
      <c r="N1332" s="119"/>
    </row>
    <row r="1333" spans="7:14">
      <c r="G1333" s="116"/>
      <c r="H1333" s="117"/>
      <c r="I1333" s="118"/>
      <c r="J1333" s="119"/>
      <c r="K1333" s="116"/>
      <c r="L1333" s="117"/>
      <c r="M1333" s="118"/>
      <c r="N1333" s="119"/>
    </row>
    <row r="1334" spans="7:14">
      <c r="G1334" s="116"/>
      <c r="H1334" s="117"/>
      <c r="I1334" s="118"/>
      <c r="J1334" s="119"/>
      <c r="K1334" s="116"/>
      <c r="L1334" s="117"/>
      <c r="M1334" s="118"/>
      <c r="N1334" s="119"/>
    </row>
    <row r="1335" spans="7:14">
      <c r="G1335" s="116"/>
      <c r="H1335" s="117"/>
      <c r="I1335" s="118"/>
      <c r="J1335" s="119"/>
      <c r="K1335" s="116"/>
      <c r="L1335" s="117"/>
      <c r="M1335" s="118"/>
      <c r="N1335" s="119"/>
    </row>
    <row r="1336" spans="7:14">
      <c r="G1336" s="116"/>
      <c r="H1336" s="117"/>
      <c r="I1336" s="118"/>
      <c r="J1336" s="119"/>
      <c r="K1336" s="116"/>
      <c r="L1336" s="117"/>
      <c r="M1336" s="118"/>
      <c r="N1336" s="119"/>
    </row>
    <row r="1337" spans="7:14">
      <c r="G1337" s="116"/>
      <c r="H1337" s="117"/>
      <c r="I1337" s="118"/>
      <c r="J1337" s="119"/>
      <c r="K1337" s="116"/>
      <c r="L1337" s="117"/>
      <c r="M1337" s="118"/>
      <c r="N1337" s="119"/>
    </row>
    <row r="1338" spans="7:14">
      <c r="G1338" s="116"/>
      <c r="H1338" s="117"/>
      <c r="I1338" s="118"/>
      <c r="J1338" s="119"/>
      <c r="K1338" s="116"/>
      <c r="L1338" s="117"/>
      <c r="M1338" s="118"/>
      <c r="N1338" s="119"/>
    </row>
    <row r="1339" spans="7:14">
      <c r="G1339" s="116"/>
      <c r="H1339" s="117"/>
      <c r="I1339" s="118"/>
      <c r="J1339" s="119"/>
      <c r="K1339" s="116"/>
      <c r="L1339" s="117"/>
      <c r="M1339" s="118"/>
      <c r="N1339" s="119"/>
    </row>
    <row r="1340" spans="7:14">
      <c r="G1340" s="116"/>
      <c r="H1340" s="117"/>
      <c r="I1340" s="118"/>
      <c r="J1340" s="119"/>
      <c r="K1340" s="116"/>
      <c r="L1340" s="117"/>
      <c r="M1340" s="118"/>
      <c r="N1340" s="119"/>
    </row>
    <row r="1341" spans="7:14">
      <c r="G1341" s="116"/>
      <c r="H1341" s="117"/>
      <c r="I1341" s="118"/>
      <c r="J1341" s="119"/>
      <c r="K1341" s="116"/>
      <c r="L1341" s="117"/>
      <c r="M1341" s="118"/>
      <c r="N1341" s="119"/>
    </row>
    <row r="1342" spans="7:14">
      <c r="G1342" s="116"/>
      <c r="H1342" s="117"/>
      <c r="I1342" s="118"/>
      <c r="J1342" s="119"/>
      <c r="K1342" s="116"/>
      <c r="L1342" s="117"/>
      <c r="M1342" s="118"/>
      <c r="N1342" s="119"/>
    </row>
    <row r="1343" spans="7:14">
      <c r="G1343" s="116"/>
      <c r="H1343" s="117"/>
      <c r="I1343" s="118"/>
      <c r="J1343" s="119"/>
      <c r="K1343" s="116"/>
      <c r="L1343" s="117"/>
      <c r="M1343" s="118"/>
      <c r="N1343" s="119"/>
    </row>
    <row r="1344" spans="7:14">
      <c r="G1344" s="116"/>
      <c r="H1344" s="117"/>
      <c r="I1344" s="118"/>
      <c r="J1344" s="119"/>
      <c r="K1344" s="116"/>
      <c r="L1344" s="117"/>
      <c r="M1344" s="118"/>
      <c r="N1344" s="119"/>
    </row>
    <row r="1345" spans="7:14">
      <c r="G1345" s="116"/>
      <c r="H1345" s="117"/>
      <c r="I1345" s="118"/>
      <c r="J1345" s="119"/>
      <c r="K1345" s="116"/>
      <c r="L1345" s="117"/>
      <c r="M1345" s="118"/>
      <c r="N1345" s="119"/>
    </row>
    <row r="1346" spans="7:14">
      <c r="G1346" s="116"/>
      <c r="H1346" s="117"/>
      <c r="I1346" s="118"/>
      <c r="J1346" s="119"/>
      <c r="K1346" s="116"/>
      <c r="L1346" s="117"/>
      <c r="M1346" s="118"/>
      <c r="N1346" s="119"/>
    </row>
    <row r="1347" spans="7:14">
      <c r="G1347" s="116"/>
      <c r="H1347" s="117"/>
      <c r="I1347" s="118"/>
      <c r="J1347" s="119"/>
      <c r="K1347" s="116"/>
      <c r="L1347" s="117"/>
      <c r="M1347" s="118"/>
      <c r="N1347" s="119"/>
    </row>
    <row r="1348" spans="7:14">
      <c r="G1348" s="116"/>
      <c r="H1348" s="117"/>
      <c r="I1348" s="118"/>
      <c r="J1348" s="119"/>
      <c r="K1348" s="116"/>
      <c r="L1348" s="117"/>
      <c r="M1348" s="118"/>
      <c r="N1348" s="119"/>
    </row>
    <row r="1349" spans="7:14">
      <c r="G1349" s="116"/>
      <c r="H1349" s="117"/>
      <c r="I1349" s="118"/>
      <c r="J1349" s="119"/>
      <c r="K1349" s="116"/>
      <c r="L1349" s="117"/>
      <c r="M1349" s="118"/>
      <c r="N1349" s="119"/>
    </row>
    <row r="1350" spans="7:14">
      <c r="G1350" s="116"/>
      <c r="H1350" s="117"/>
      <c r="I1350" s="118"/>
      <c r="J1350" s="119"/>
      <c r="K1350" s="116"/>
      <c r="L1350" s="117"/>
      <c r="M1350" s="118"/>
      <c r="N1350" s="119"/>
    </row>
    <row r="1351" spans="7:14">
      <c r="G1351" s="116"/>
      <c r="H1351" s="117"/>
      <c r="I1351" s="118"/>
      <c r="J1351" s="119"/>
      <c r="K1351" s="116"/>
      <c r="L1351" s="117"/>
      <c r="M1351" s="118"/>
      <c r="N1351" s="119"/>
    </row>
    <row r="1352" spans="7:14">
      <c r="G1352" s="116"/>
      <c r="H1352" s="117"/>
      <c r="I1352" s="118"/>
      <c r="J1352" s="119"/>
      <c r="K1352" s="116"/>
      <c r="L1352" s="117"/>
      <c r="M1352" s="118"/>
      <c r="N1352" s="119"/>
    </row>
    <row r="1353" spans="7:14">
      <c r="G1353" s="116"/>
      <c r="H1353" s="117"/>
      <c r="I1353" s="118"/>
      <c r="J1353" s="119"/>
      <c r="K1353" s="116"/>
      <c r="L1353" s="117"/>
      <c r="M1353" s="118"/>
      <c r="N1353" s="119"/>
    </row>
    <row r="1354" spans="7:14">
      <c r="G1354" s="116"/>
      <c r="H1354" s="117"/>
      <c r="I1354" s="118"/>
      <c r="J1354" s="119"/>
      <c r="K1354" s="116"/>
      <c r="L1354" s="117"/>
      <c r="M1354" s="118"/>
      <c r="N1354" s="119"/>
    </row>
    <row r="1355" spans="7:14">
      <c r="G1355" s="116"/>
      <c r="H1355" s="117"/>
      <c r="I1355" s="118"/>
      <c r="J1355" s="119"/>
      <c r="K1355" s="116"/>
      <c r="L1355" s="117"/>
      <c r="M1355" s="118"/>
      <c r="N1355" s="119"/>
    </row>
    <row r="1356" spans="7:14">
      <c r="G1356" s="116"/>
      <c r="H1356" s="117"/>
      <c r="I1356" s="118"/>
      <c r="J1356" s="119"/>
      <c r="K1356" s="116"/>
      <c r="L1356" s="117"/>
      <c r="M1356" s="118"/>
      <c r="N1356" s="119"/>
    </row>
    <row r="1357" spans="7:14">
      <c r="G1357" s="116"/>
      <c r="H1357" s="117"/>
      <c r="I1357" s="118"/>
      <c r="J1357" s="119"/>
      <c r="K1357" s="116"/>
      <c r="L1357" s="117"/>
      <c r="M1357" s="118"/>
      <c r="N1357" s="119"/>
    </row>
    <row r="1358" spans="7:14">
      <c r="G1358" s="116"/>
      <c r="H1358" s="117"/>
      <c r="I1358" s="118"/>
      <c r="J1358" s="119"/>
      <c r="K1358" s="116"/>
      <c r="L1358" s="117"/>
      <c r="M1358" s="118"/>
      <c r="N1358" s="119"/>
    </row>
    <row r="1359" spans="7:14">
      <c r="G1359" s="116"/>
      <c r="H1359" s="117"/>
      <c r="I1359" s="118"/>
      <c r="J1359" s="119"/>
      <c r="K1359" s="116"/>
      <c r="L1359" s="117"/>
      <c r="M1359" s="118"/>
      <c r="N1359" s="119"/>
    </row>
    <row r="1360" spans="7:14">
      <c r="G1360" s="116"/>
      <c r="H1360" s="117"/>
      <c r="I1360" s="118"/>
      <c r="J1360" s="119"/>
      <c r="K1360" s="116"/>
      <c r="L1360" s="117"/>
      <c r="M1360" s="118"/>
      <c r="N1360" s="119"/>
    </row>
    <row r="1361" spans="7:14">
      <c r="G1361" s="116"/>
      <c r="H1361" s="117"/>
      <c r="I1361" s="118"/>
      <c r="J1361" s="119"/>
      <c r="K1361" s="116"/>
      <c r="L1361" s="117"/>
      <c r="M1361" s="118"/>
      <c r="N1361" s="119"/>
    </row>
    <row r="1362" spans="7:14">
      <c r="G1362" s="116"/>
      <c r="H1362" s="117"/>
      <c r="I1362" s="118"/>
      <c r="J1362" s="119"/>
      <c r="K1362" s="116"/>
      <c r="L1362" s="117"/>
      <c r="M1362" s="118"/>
      <c r="N1362" s="119"/>
    </row>
    <row r="1363" spans="7:14">
      <c r="G1363" s="116"/>
      <c r="H1363" s="117"/>
      <c r="I1363" s="118"/>
      <c r="J1363" s="119"/>
      <c r="K1363" s="116"/>
      <c r="L1363" s="117"/>
      <c r="M1363" s="118"/>
      <c r="N1363" s="119"/>
    </row>
    <row r="1364" spans="7:14">
      <c r="G1364" s="116"/>
      <c r="H1364" s="117"/>
      <c r="I1364" s="118"/>
      <c r="J1364" s="119"/>
      <c r="K1364" s="116"/>
      <c r="L1364" s="117"/>
      <c r="M1364" s="118"/>
      <c r="N1364" s="119"/>
    </row>
    <row r="1365" spans="7:14">
      <c r="G1365" s="116"/>
      <c r="H1365" s="117"/>
      <c r="I1365" s="118"/>
      <c r="J1365" s="119"/>
      <c r="K1365" s="116"/>
      <c r="L1365" s="117"/>
      <c r="M1365" s="118"/>
      <c r="N1365" s="119"/>
    </row>
    <row r="1366" spans="7:14">
      <c r="G1366" s="116"/>
      <c r="H1366" s="117"/>
      <c r="I1366" s="118"/>
      <c r="J1366" s="119"/>
      <c r="K1366" s="116"/>
      <c r="L1366" s="117"/>
      <c r="M1366" s="118"/>
      <c r="N1366" s="119"/>
    </row>
    <row r="1367" spans="7:14">
      <c r="G1367" s="116"/>
      <c r="H1367" s="117"/>
      <c r="I1367" s="118"/>
      <c r="J1367" s="119"/>
      <c r="K1367" s="116"/>
      <c r="L1367" s="117"/>
      <c r="M1367" s="118"/>
      <c r="N1367" s="119"/>
    </row>
    <row r="1368" spans="7:14">
      <c r="G1368" s="116"/>
      <c r="H1368" s="117"/>
      <c r="I1368" s="118"/>
      <c r="J1368" s="119"/>
      <c r="K1368" s="116"/>
      <c r="L1368" s="117"/>
      <c r="M1368" s="118"/>
      <c r="N1368" s="119"/>
    </row>
    <row r="1369" spans="7:14">
      <c r="G1369" s="116"/>
      <c r="H1369" s="117"/>
      <c r="I1369" s="118"/>
      <c r="J1369" s="119"/>
      <c r="K1369" s="116"/>
      <c r="L1369" s="117"/>
      <c r="M1369" s="118"/>
      <c r="N1369" s="119"/>
    </row>
    <row r="1370" spans="7:14">
      <c r="G1370" s="116"/>
      <c r="H1370" s="117"/>
      <c r="I1370" s="118"/>
      <c r="J1370" s="119"/>
      <c r="K1370" s="116"/>
      <c r="L1370" s="117"/>
      <c r="M1370" s="118"/>
      <c r="N1370" s="119"/>
    </row>
    <row r="1371" spans="7:14">
      <c r="G1371" s="116"/>
      <c r="H1371" s="117"/>
      <c r="I1371" s="118"/>
      <c r="J1371" s="119"/>
      <c r="K1371" s="116"/>
      <c r="L1371" s="117"/>
      <c r="M1371" s="118"/>
      <c r="N1371" s="119"/>
    </row>
    <row r="1372" spans="7:14">
      <c r="G1372" s="116"/>
      <c r="H1372" s="117"/>
      <c r="I1372" s="118"/>
      <c r="J1372" s="119"/>
      <c r="K1372" s="116"/>
      <c r="L1372" s="117"/>
      <c r="M1372" s="118"/>
      <c r="N1372" s="119"/>
    </row>
    <row r="1373" spans="7:14">
      <c r="G1373" s="116"/>
      <c r="H1373" s="117"/>
      <c r="I1373" s="118"/>
      <c r="J1373" s="119"/>
      <c r="K1373" s="116"/>
      <c r="L1373" s="117"/>
      <c r="M1373" s="118"/>
      <c r="N1373" s="119"/>
    </row>
    <row r="1374" spans="7:14">
      <c r="G1374" s="116"/>
      <c r="H1374" s="117"/>
      <c r="I1374" s="118"/>
      <c r="J1374" s="119"/>
      <c r="K1374" s="116"/>
      <c r="L1374" s="117"/>
      <c r="M1374" s="118"/>
      <c r="N1374" s="119"/>
    </row>
    <row r="1375" spans="7:14">
      <c r="G1375" s="116"/>
      <c r="H1375" s="117"/>
      <c r="I1375" s="118"/>
      <c r="J1375" s="119"/>
      <c r="K1375" s="116"/>
      <c r="L1375" s="117"/>
      <c r="M1375" s="118"/>
      <c r="N1375" s="119"/>
    </row>
    <row r="1376" spans="7:14">
      <c r="G1376" s="116"/>
      <c r="H1376" s="117"/>
      <c r="I1376" s="118"/>
      <c r="J1376" s="119"/>
      <c r="K1376" s="116"/>
      <c r="L1376" s="117"/>
      <c r="M1376" s="118"/>
      <c r="N1376" s="119"/>
    </row>
    <row r="1377" spans="7:14">
      <c r="G1377" s="116"/>
      <c r="H1377" s="117"/>
      <c r="I1377" s="118"/>
      <c r="J1377" s="119"/>
      <c r="K1377" s="116"/>
      <c r="L1377" s="117"/>
      <c r="M1377" s="118"/>
      <c r="N1377" s="119"/>
    </row>
    <row r="1378" spans="7:14">
      <c r="G1378" s="116"/>
      <c r="H1378" s="117"/>
      <c r="I1378" s="118"/>
      <c r="J1378" s="119"/>
      <c r="K1378" s="116"/>
      <c r="L1378" s="117"/>
      <c r="M1378" s="118"/>
      <c r="N1378" s="119"/>
    </row>
    <row r="1379" spans="7:14">
      <c r="G1379" s="116"/>
      <c r="H1379" s="117"/>
      <c r="I1379" s="118"/>
      <c r="J1379" s="119"/>
      <c r="K1379" s="116"/>
      <c r="L1379" s="117"/>
      <c r="M1379" s="118"/>
      <c r="N1379" s="119"/>
    </row>
    <row r="1380" spans="7:14">
      <c r="G1380" s="116"/>
      <c r="H1380" s="117"/>
      <c r="I1380" s="118"/>
      <c r="J1380" s="119"/>
      <c r="K1380" s="116"/>
      <c r="L1380" s="117"/>
      <c r="M1380" s="118"/>
      <c r="N1380" s="119"/>
    </row>
    <row r="1381" spans="7:14">
      <c r="G1381" s="116"/>
      <c r="H1381" s="117"/>
      <c r="I1381" s="118"/>
      <c r="J1381" s="119"/>
      <c r="K1381" s="116"/>
      <c r="L1381" s="117"/>
      <c r="M1381" s="118"/>
      <c r="N1381" s="119"/>
    </row>
    <row r="1382" spans="7:14">
      <c r="G1382" s="116"/>
      <c r="H1382" s="117"/>
      <c r="I1382" s="118"/>
      <c r="J1382" s="119"/>
      <c r="K1382" s="116"/>
      <c r="L1382" s="117"/>
      <c r="M1382" s="118"/>
      <c r="N1382" s="119"/>
    </row>
    <row r="1383" spans="7:14">
      <c r="G1383" s="116"/>
      <c r="H1383" s="117"/>
      <c r="I1383" s="118"/>
      <c r="J1383" s="119"/>
      <c r="K1383" s="116"/>
      <c r="L1383" s="117"/>
      <c r="M1383" s="118"/>
      <c r="N1383" s="119"/>
    </row>
    <row r="1384" spans="7:14">
      <c r="G1384" s="116"/>
      <c r="H1384" s="117"/>
      <c r="I1384" s="118"/>
      <c r="J1384" s="119"/>
      <c r="K1384" s="116"/>
      <c r="L1384" s="117"/>
      <c r="M1384" s="118"/>
      <c r="N1384" s="119"/>
    </row>
    <row r="1385" spans="7:14">
      <c r="G1385" s="116"/>
      <c r="H1385" s="117"/>
      <c r="I1385" s="118"/>
      <c r="J1385" s="119"/>
      <c r="K1385" s="116"/>
      <c r="L1385" s="117"/>
      <c r="M1385" s="118"/>
      <c r="N1385" s="119"/>
    </row>
    <row r="1386" spans="7:14">
      <c r="G1386" s="116"/>
      <c r="H1386" s="117"/>
      <c r="I1386" s="118"/>
      <c r="J1386" s="119"/>
      <c r="K1386" s="116"/>
      <c r="L1386" s="117"/>
      <c r="M1386" s="118"/>
      <c r="N1386" s="119"/>
    </row>
    <row r="1387" spans="7:14">
      <c r="G1387" s="116"/>
      <c r="H1387" s="117"/>
      <c r="I1387" s="118"/>
      <c r="J1387" s="119"/>
      <c r="K1387" s="116"/>
      <c r="L1387" s="117"/>
      <c r="M1387" s="118"/>
      <c r="N1387" s="119"/>
    </row>
    <row r="1388" spans="7:14">
      <c r="G1388" s="116"/>
      <c r="H1388" s="117"/>
      <c r="I1388" s="118"/>
      <c r="J1388" s="119"/>
      <c r="K1388" s="116"/>
      <c r="L1388" s="117"/>
      <c r="M1388" s="118"/>
      <c r="N1388" s="119"/>
    </row>
    <row r="1389" spans="7:14">
      <c r="G1389" s="116"/>
      <c r="H1389" s="117"/>
      <c r="I1389" s="118"/>
      <c r="J1389" s="119"/>
      <c r="K1389" s="116"/>
      <c r="L1389" s="117"/>
      <c r="M1389" s="118"/>
      <c r="N1389" s="119"/>
    </row>
    <row r="1390" spans="7:14">
      <c r="G1390" s="116"/>
      <c r="H1390" s="117"/>
      <c r="I1390" s="118"/>
      <c r="J1390" s="119"/>
      <c r="K1390" s="116"/>
      <c r="L1390" s="117"/>
      <c r="M1390" s="118"/>
      <c r="N1390" s="119"/>
    </row>
    <row r="1391" spans="7:14">
      <c r="G1391" s="116"/>
      <c r="H1391" s="117"/>
      <c r="I1391" s="118"/>
      <c r="J1391" s="119"/>
      <c r="K1391" s="116"/>
      <c r="L1391" s="117"/>
      <c r="M1391" s="118"/>
      <c r="N1391" s="119"/>
    </row>
    <row r="1392" spans="7:14">
      <c r="G1392" s="116"/>
      <c r="H1392" s="117"/>
      <c r="I1392" s="118"/>
      <c r="J1392" s="119"/>
      <c r="K1392" s="116"/>
      <c r="L1392" s="117"/>
      <c r="M1392" s="118"/>
      <c r="N1392" s="119"/>
    </row>
    <row r="1393" spans="7:14">
      <c r="G1393" s="116"/>
      <c r="H1393" s="117"/>
      <c r="I1393" s="118"/>
      <c r="J1393" s="119"/>
      <c r="K1393" s="116"/>
      <c r="L1393" s="117"/>
      <c r="M1393" s="118"/>
      <c r="N1393" s="119"/>
    </row>
    <row r="1394" spans="7:14">
      <c r="G1394" s="116"/>
      <c r="H1394" s="117"/>
      <c r="I1394" s="118"/>
      <c r="J1394" s="119"/>
      <c r="K1394" s="116"/>
      <c r="L1394" s="117"/>
      <c r="M1394" s="118"/>
      <c r="N1394" s="119"/>
    </row>
    <row r="1395" spans="7:14">
      <c r="G1395" s="116"/>
      <c r="H1395" s="117"/>
      <c r="I1395" s="118"/>
      <c r="J1395" s="119"/>
      <c r="K1395" s="116"/>
      <c r="L1395" s="117"/>
      <c r="M1395" s="118"/>
      <c r="N1395" s="119"/>
    </row>
    <row r="1396" spans="7:14">
      <c r="G1396" s="116"/>
      <c r="H1396" s="117"/>
      <c r="I1396" s="118"/>
      <c r="J1396" s="119"/>
      <c r="K1396" s="116"/>
      <c r="L1396" s="117"/>
      <c r="M1396" s="118"/>
      <c r="N1396" s="119"/>
    </row>
    <row r="1397" spans="7:14">
      <c r="G1397" s="116"/>
      <c r="H1397" s="117"/>
      <c r="I1397" s="118"/>
      <c r="J1397" s="119"/>
      <c r="K1397" s="116"/>
      <c r="L1397" s="117"/>
      <c r="M1397" s="118"/>
      <c r="N1397" s="119"/>
    </row>
    <row r="1398" spans="7:14">
      <c r="G1398" s="116"/>
      <c r="H1398" s="117"/>
      <c r="I1398" s="118"/>
      <c r="J1398" s="119"/>
      <c r="K1398" s="116"/>
      <c r="L1398" s="117"/>
      <c r="M1398" s="118"/>
      <c r="N1398" s="119"/>
    </row>
    <row r="1399" spans="7:14">
      <c r="G1399" s="116"/>
      <c r="H1399" s="117"/>
      <c r="I1399" s="118"/>
      <c r="J1399" s="119"/>
      <c r="K1399" s="116"/>
      <c r="L1399" s="117"/>
      <c r="M1399" s="118"/>
      <c r="N1399" s="119"/>
    </row>
    <row r="1400" spans="7:14">
      <c r="G1400" s="116"/>
      <c r="H1400" s="117"/>
      <c r="I1400" s="118"/>
      <c r="J1400" s="119"/>
      <c r="K1400" s="116"/>
      <c r="L1400" s="117"/>
      <c r="M1400" s="118"/>
      <c r="N1400" s="119"/>
    </row>
    <row r="1401" spans="7:14">
      <c r="G1401" s="116"/>
      <c r="H1401" s="117"/>
      <c r="I1401" s="118"/>
      <c r="J1401" s="119"/>
      <c r="K1401" s="116"/>
      <c r="L1401" s="117"/>
      <c r="M1401" s="118"/>
      <c r="N1401" s="119"/>
    </row>
    <row r="1402" spans="7:14">
      <c r="G1402" s="116"/>
      <c r="H1402" s="117"/>
      <c r="I1402" s="118"/>
      <c r="J1402" s="119"/>
      <c r="K1402" s="116"/>
      <c r="L1402" s="117"/>
      <c r="M1402" s="118"/>
      <c r="N1402" s="119"/>
    </row>
    <row r="1403" spans="7:14">
      <c r="G1403" s="116"/>
      <c r="H1403" s="117"/>
      <c r="I1403" s="118"/>
      <c r="J1403" s="119"/>
      <c r="K1403" s="116"/>
      <c r="L1403" s="117"/>
      <c r="M1403" s="118"/>
      <c r="N1403" s="119"/>
    </row>
    <row r="1404" spans="7:14">
      <c r="G1404" s="116"/>
      <c r="H1404" s="117"/>
      <c r="I1404" s="118"/>
      <c r="J1404" s="119"/>
      <c r="K1404" s="116"/>
      <c r="L1404" s="117"/>
      <c r="M1404" s="118"/>
      <c r="N1404" s="119"/>
    </row>
    <row r="1405" spans="7:14">
      <c r="G1405" s="116"/>
      <c r="H1405" s="117"/>
      <c r="I1405" s="118"/>
      <c r="J1405" s="119"/>
      <c r="K1405" s="116"/>
      <c r="L1405" s="117"/>
      <c r="M1405" s="118"/>
      <c r="N1405" s="119"/>
    </row>
    <row r="1406" spans="7:14">
      <c r="G1406" s="116"/>
      <c r="H1406" s="117"/>
      <c r="I1406" s="118"/>
      <c r="J1406" s="119"/>
      <c r="K1406" s="116"/>
      <c r="L1406" s="117"/>
      <c r="M1406" s="118"/>
      <c r="N1406" s="119"/>
    </row>
    <row r="1407" spans="7:14">
      <c r="G1407" s="116"/>
      <c r="H1407" s="117"/>
      <c r="I1407" s="118"/>
      <c r="J1407" s="119"/>
      <c r="K1407" s="116"/>
      <c r="L1407" s="117"/>
      <c r="M1407" s="118"/>
      <c r="N1407" s="119"/>
    </row>
    <row r="1408" spans="7:14">
      <c r="G1408" s="116"/>
      <c r="H1408" s="117"/>
      <c r="I1408" s="118"/>
      <c r="J1408" s="119"/>
      <c r="K1408" s="116"/>
      <c r="L1408" s="117"/>
      <c r="M1408" s="118"/>
      <c r="N1408" s="119"/>
    </row>
    <row r="1409" spans="7:14">
      <c r="G1409" s="116"/>
      <c r="H1409" s="117"/>
      <c r="I1409" s="118"/>
      <c r="J1409" s="119"/>
      <c r="K1409" s="116"/>
      <c r="L1409" s="117"/>
      <c r="M1409" s="118"/>
      <c r="N1409" s="119"/>
    </row>
    <row r="1410" spans="7:14">
      <c r="G1410" s="116"/>
      <c r="H1410" s="117"/>
      <c r="I1410" s="118"/>
      <c r="J1410" s="119"/>
      <c r="K1410" s="116"/>
      <c r="L1410" s="117"/>
      <c r="M1410" s="118"/>
      <c r="N1410" s="119"/>
    </row>
    <row r="1411" spans="7:14">
      <c r="G1411" s="116"/>
      <c r="H1411" s="117"/>
      <c r="I1411" s="118"/>
      <c r="J1411" s="119"/>
      <c r="K1411" s="116"/>
      <c r="L1411" s="117"/>
      <c r="M1411" s="118"/>
      <c r="N1411" s="119"/>
    </row>
    <row r="1412" spans="7:14">
      <c r="G1412" s="116"/>
      <c r="H1412" s="117"/>
      <c r="I1412" s="118"/>
      <c r="J1412" s="119"/>
      <c r="K1412" s="116"/>
      <c r="L1412" s="117"/>
      <c r="M1412" s="118"/>
      <c r="N1412" s="119"/>
    </row>
    <row r="1413" spans="7:14">
      <c r="G1413" s="116"/>
      <c r="H1413" s="117"/>
      <c r="I1413" s="118"/>
      <c r="J1413" s="119"/>
      <c r="K1413" s="116"/>
      <c r="L1413" s="117"/>
      <c r="M1413" s="118"/>
      <c r="N1413" s="119"/>
    </row>
    <row r="1414" spans="7:14">
      <c r="G1414" s="116"/>
      <c r="H1414" s="117"/>
      <c r="I1414" s="118"/>
      <c r="J1414" s="119"/>
      <c r="K1414" s="116"/>
      <c r="L1414" s="117"/>
      <c r="M1414" s="118"/>
      <c r="N1414" s="119"/>
    </row>
    <row r="1415" spans="7:14">
      <c r="G1415" s="116"/>
      <c r="H1415" s="117"/>
      <c r="I1415" s="118"/>
      <c r="J1415" s="119"/>
      <c r="K1415" s="116"/>
      <c r="L1415" s="117"/>
      <c r="M1415" s="118"/>
      <c r="N1415" s="119"/>
    </row>
    <row r="1416" spans="7:14">
      <c r="G1416" s="116"/>
      <c r="H1416" s="117"/>
      <c r="I1416" s="118"/>
      <c r="J1416" s="119"/>
      <c r="K1416" s="116"/>
      <c r="L1416" s="117"/>
      <c r="M1416" s="118"/>
      <c r="N1416" s="119"/>
    </row>
    <row r="1417" spans="7:14">
      <c r="G1417" s="116"/>
      <c r="H1417" s="117"/>
      <c r="I1417" s="118"/>
      <c r="J1417" s="119"/>
      <c r="K1417" s="116"/>
      <c r="L1417" s="117"/>
      <c r="M1417" s="118"/>
      <c r="N1417" s="119"/>
    </row>
    <row r="1418" spans="7:14">
      <c r="G1418" s="116"/>
      <c r="H1418" s="117"/>
      <c r="I1418" s="118"/>
      <c r="J1418" s="119"/>
      <c r="K1418" s="116"/>
      <c r="L1418" s="117"/>
      <c r="M1418" s="118"/>
      <c r="N1418" s="119"/>
    </row>
    <row r="1419" spans="7:14">
      <c r="G1419" s="116"/>
      <c r="H1419" s="117"/>
      <c r="I1419" s="118"/>
      <c r="J1419" s="119"/>
      <c r="K1419" s="116"/>
      <c r="L1419" s="117"/>
      <c r="M1419" s="118"/>
      <c r="N1419" s="119"/>
    </row>
    <row r="1420" spans="7:14">
      <c r="G1420" s="116"/>
      <c r="H1420" s="117"/>
      <c r="I1420" s="118"/>
      <c r="J1420" s="119"/>
      <c r="K1420" s="116"/>
      <c r="L1420" s="117"/>
      <c r="M1420" s="118"/>
      <c r="N1420" s="119"/>
    </row>
    <row r="1421" spans="7:14">
      <c r="G1421" s="116"/>
      <c r="H1421" s="117"/>
      <c r="I1421" s="118"/>
      <c r="J1421" s="119"/>
      <c r="K1421" s="116"/>
      <c r="L1421" s="117"/>
      <c r="M1421" s="118"/>
      <c r="N1421" s="119"/>
    </row>
    <row r="1422" spans="7:14">
      <c r="G1422" s="116"/>
      <c r="H1422" s="117"/>
      <c r="I1422" s="118"/>
      <c r="J1422" s="119"/>
      <c r="K1422" s="116"/>
      <c r="L1422" s="117"/>
      <c r="M1422" s="118"/>
      <c r="N1422" s="119"/>
    </row>
    <row r="1423" spans="7:14">
      <c r="G1423" s="116"/>
      <c r="H1423" s="117"/>
      <c r="I1423" s="118"/>
      <c r="J1423" s="119"/>
      <c r="K1423" s="116"/>
      <c r="L1423" s="117"/>
      <c r="M1423" s="118"/>
      <c r="N1423" s="119"/>
    </row>
    <row r="1424" spans="7:14">
      <c r="G1424" s="116"/>
      <c r="H1424" s="117"/>
      <c r="I1424" s="118"/>
      <c r="J1424" s="119"/>
      <c r="K1424" s="116"/>
      <c r="L1424" s="117"/>
      <c r="M1424" s="118"/>
      <c r="N1424" s="119"/>
    </row>
    <row r="1425" spans="7:14">
      <c r="G1425" s="116"/>
      <c r="H1425" s="117"/>
      <c r="I1425" s="118"/>
      <c r="J1425" s="119"/>
      <c r="K1425" s="116"/>
      <c r="L1425" s="117"/>
      <c r="M1425" s="118"/>
      <c r="N1425" s="119"/>
    </row>
    <row r="1426" spans="7:14">
      <c r="G1426" s="116"/>
      <c r="H1426" s="117"/>
      <c r="I1426" s="118"/>
      <c r="J1426" s="119"/>
      <c r="K1426" s="116"/>
      <c r="L1426" s="117"/>
      <c r="M1426" s="118"/>
      <c r="N1426" s="119"/>
    </row>
    <row r="1427" spans="7:14">
      <c r="G1427" s="116"/>
      <c r="H1427" s="117"/>
      <c r="I1427" s="118"/>
      <c r="J1427" s="119"/>
      <c r="K1427" s="116"/>
      <c r="L1427" s="117"/>
      <c r="M1427" s="118"/>
      <c r="N1427" s="119"/>
    </row>
    <row r="1428" spans="7:14">
      <c r="G1428" s="116"/>
      <c r="H1428" s="117"/>
      <c r="I1428" s="118"/>
      <c r="J1428" s="119"/>
      <c r="K1428" s="116"/>
      <c r="L1428" s="117"/>
      <c r="M1428" s="118"/>
      <c r="N1428" s="119"/>
    </row>
    <row r="1429" spans="7:14">
      <c r="G1429" s="116"/>
      <c r="H1429" s="117"/>
      <c r="I1429" s="118"/>
      <c r="J1429" s="119"/>
      <c r="K1429" s="116"/>
      <c r="L1429" s="117"/>
      <c r="M1429" s="118"/>
      <c r="N1429" s="119"/>
    </row>
    <row r="1430" spans="7:14">
      <c r="G1430" s="116"/>
      <c r="H1430" s="117"/>
      <c r="I1430" s="118"/>
      <c r="J1430" s="119"/>
      <c r="K1430" s="116"/>
      <c r="L1430" s="117"/>
      <c r="M1430" s="118"/>
      <c r="N1430" s="119"/>
    </row>
    <row r="1431" spans="7:14">
      <c r="G1431" s="116"/>
      <c r="H1431" s="117"/>
      <c r="I1431" s="118"/>
      <c r="J1431" s="119"/>
      <c r="K1431" s="116"/>
      <c r="L1431" s="117"/>
      <c r="M1431" s="118"/>
      <c r="N1431" s="119"/>
    </row>
    <row r="1432" spans="7:14">
      <c r="G1432" s="116"/>
      <c r="H1432" s="117"/>
      <c r="I1432" s="118"/>
      <c r="J1432" s="119"/>
      <c r="K1432" s="116"/>
      <c r="L1432" s="117"/>
      <c r="M1432" s="118"/>
      <c r="N1432" s="119"/>
    </row>
    <row r="1433" spans="7:14">
      <c r="G1433" s="116"/>
      <c r="H1433" s="117"/>
      <c r="I1433" s="118"/>
      <c r="J1433" s="119"/>
      <c r="K1433" s="116"/>
      <c r="L1433" s="117"/>
      <c r="M1433" s="118"/>
      <c r="N1433" s="119"/>
    </row>
    <row r="1434" spans="7:14">
      <c r="G1434" s="116"/>
      <c r="H1434" s="117"/>
      <c r="I1434" s="118"/>
      <c r="J1434" s="119"/>
      <c r="K1434" s="116"/>
      <c r="L1434" s="117"/>
      <c r="M1434" s="118"/>
      <c r="N1434" s="119"/>
    </row>
    <row r="1435" spans="7:14">
      <c r="G1435" s="116"/>
      <c r="H1435" s="117"/>
      <c r="I1435" s="118"/>
      <c r="J1435" s="119"/>
      <c r="K1435" s="116"/>
      <c r="L1435" s="117"/>
      <c r="M1435" s="118"/>
      <c r="N1435" s="119"/>
    </row>
    <row r="1436" spans="7:14">
      <c r="G1436" s="116"/>
      <c r="H1436" s="117"/>
      <c r="I1436" s="118"/>
      <c r="J1436" s="119"/>
      <c r="K1436" s="116"/>
      <c r="L1436" s="117"/>
      <c r="M1436" s="118"/>
      <c r="N1436" s="119"/>
    </row>
    <row r="1437" spans="7:14">
      <c r="G1437" s="116"/>
      <c r="H1437" s="117"/>
      <c r="I1437" s="118"/>
      <c r="J1437" s="119"/>
      <c r="K1437" s="116"/>
      <c r="L1437" s="117"/>
      <c r="M1437" s="118"/>
      <c r="N1437" s="119"/>
    </row>
    <row r="1438" spans="7:14">
      <c r="G1438" s="116"/>
      <c r="H1438" s="117"/>
      <c r="I1438" s="118"/>
      <c r="J1438" s="119"/>
      <c r="K1438" s="116"/>
      <c r="L1438" s="117"/>
      <c r="M1438" s="118"/>
      <c r="N1438" s="119"/>
    </row>
    <row r="1439" spans="7:14">
      <c r="G1439" s="116"/>
      <c r="H1439" s="117"/>
      <c r="I1439" s="118"/>
      <c r="J1439" s="119"/>
      <c r="K1439" s="116"/>
      <c r="L1439" s="117"/>
      <c r="M1439" s="118"/>
      <c r="N1439" s="119"/>
    </row>
    <row r="1440" spans="7:14">
      <c r="G1440" s="116"/>
      <c r="H1440" s="117"/>
      <c r="I1440" s="118"/>
      <c r="J1440" s="119"/>
      <c r="K1440" s="116"/>
      <c r="L1440" s="117"/>
      <c r="M1440" s="118"/>
      <c r="N1440" s="119"/>
    </row>
    <row r="1441" spans="7:14">
      <c r="G1441" s="116"/>
      <c r="H1441" s="117"/>
      <c r="I1441" s="118"/>
      <c r="J1441" s="119"/>
      <c r="K1441" s="116"/>
      <c r="L1441" s="117"/>
      <c r="M1441" s="118"/>
      <c r="N1441" s="119"/>
    </row>
    <row r="1442" spans="7:14">
      <c r="G1442" s="116"/>
      <c r="H1442" s="117"/>
      <c r="I1442" s="118"/>
      <c r="J1442" s="119"/>
      <c r="K1442" s="116"/>
      <c r="L1442" s="117"/>
      <c r="M1442" s="118"/>
      <c r="N1442" s="119"/>
    </row>
    <row r="1443" spans="7:14">
      <c r="G1443" s="116"/>
      <c r="H1443" s="117"/>
      <c r="I1443" s="118"/>
      <c r="J1443" s="119"/>
      <c r="K1443" s="116"/>
      <c r="L1443" s="117"/>
      <c r="M1443" s="118"/>
      <c r="N1443" s="119"/>
    </row>
    <row r="1444" spans="7:14">
      <c r="G1444" s="116"/>
      <c r="H1444" s="117"/>
      <c r="I1444" s="118"/>
      <c r="J1444" s="119"/>
      <c r="K1444" s="116"/>
      <c r="L1444" s="117"/>
      <c r="M1444" s="118"/>
      <c r="N1444" s="119"/>
    </row>
    <row r="1445" spans="7:14">
      <c r="G1445" s="116"/>
      <c r="H1445" s="117"/>
      <c r="I1445" s="118"/>
      <c r="J1445" s="119"/>
      <c r="K1445" s="116"/>
      <c r="L1445" s="117"/>
      <c r="M1445" s="118"/>
      <c r="N1445" s="119"/>
    </row>
    <row r="1446" spans="7:14">
      <c r="G1446" s="116"/>
      <c r="H1446" s="117"/>
      <c r="I1446" s="118"/>
      <c r="J1446" s="119"/>
      <c r="K1446" s="116"/>
      <c r="L1446" s="117"/>
      <c r="M1446" s="118"/>
      <c r="N1446" s="119"/>
    </row>
    <row r="1447" spans="7:14">
      <c r="G1447" s="116"/>
      <c r="H1447" s="117"/>
      <c r="I1447" s="118"/>
      <c r="J1447" s="119"/>
      <c r="K1447" s="116"/>
      <c r="L1447" s="117"/>
      <c r="M1447" s="118"/>
      <c r="N1447" s="119"/>
    </row>
    <row r="1448" spans="7:14">
      <c r="G1448" s="116"/>
      <c r="H1448" s="117"/>
      <c r="I1448" s="118"/>
      <c r="J1448" s="119"/>
      <c r="K1448" s="116"/>
      <c r="L1448" s="117"/>
      <c r="M1448" s="118"/>
      <c r="N1448" s="119"/>
    </row>
    <row r="1449" spans="7:14">
      <c r="G1449" s="116"/>
      <c r="H1449" s="117"/>
      <c r="I1449" s="118"/>
      <c r="J1449" s="119"/>
      <c r="K1449" s="116"/>
      <c r="L1449" s="117"/>
      <c r="M1449" s="118"/>
      <c r="N1449" s="119"/>
    </row>
    <row r="1450" spans="7:14">
      <c r="G1450" s="116"/>
      <c r="H1450" s="117"/>
      <c r="I1450" s="118"/>
      <c r="J1450" s="119"/>
      <c r="K1450" s="116"/>
      <c r="L1450" s="117"/>
      <c r="M1450" s="118"/>
      <c r="N1450" s="119"/>
    </row>
    <row r="1451" spans="7:14">
      <c r="G1451" s="116"/>
      <c r="H1451" s="117"/>
      <c r="I1451" s="118"/>
      <c r="J1451" s="119"/>
      <c r="K1451" s="116"/>
      <c r="L1451" s="117"/>
      <c r="M1451" s="118"/>
      <c r="N1451" s="119"/>
    </row>
    <row r="1452" spans="7:14">
      <c r="G1452" s="116"/>
      <c r="H1452" s="117"/>
      <c r="I1452" s="118"/>
      <c r="J1452" s="119"/>
      <c r="K1452" s="116"/>
      <c r="L1452" s="117"/>
      <c r="M1452" s="118"/>
      <c r="N1452" s="119"/>
    </row>
    <row r="1453" spans="7:14">
      <c r="G1453" s="116"/>
      <c r="H1453" s="117"/>
      <c r="I1453" s="118"/>
      <c r="J1453" s="119"/>
      <c r="K1453" s="116"/>
      <c r="L1453" s="117"/>
      <c r="M1453" s="118"/>
      <c r="N1453" s="119"/>
    </row>
    <row r="1454" spans="7:14">
      <c r="G1454" s="116"/>
      <c r="H1454" s="117"/>
      <c r="I1454" s="118"/>
      <c r="J1454" s="119"/>
      <c r="K1454" s="116"/>
      <c r="L1454" s="117"/>
      <c r="M1454" s="118"/>
      <c r="N1454" s="119"/>
    </row>
    <row r="1455" spans="7:14">
      <c r="G1455" s="116"/>
      <c r="H1455" s="117"/>
      <c r="I1455" s="118"/>
      <c r="J1455" s="119"/>
      <c r="K1455" s="116"/>
      <c r="L1455" s="117"/>
      <c r="M1455" s="118"/>
      <c r="N1455" s="119"/>
    </row>
    <row r="1456" spans="7:14">
      <c r="G1456" s="116"/>
      <c r="H1456" s="117"/>
      <c r="I1456" s="118"/>
      <c r="J1456" s="119"/>
      <c r="K1456" s="116"/>
      <c r="L1456" s="117"/>
      <c r="M1456" s="118"/>
      <c r="N1456" s="119"/>
    </row>
    <row r="1457" spans="7:14">
      <c r="G1457" s="116"/>
      <c r="H1457" s="117"/>
      <c r="I1457" s="118"/>
      <c r="J1457" s="119"/>
      <c r="K1457" s="116"/>
      <c r="L1457" s="117"/>
      <c r="M1457" s="118"/>
      <c r="N1457" s="119"/>
    </row>
    <row r="1458" spans="7:14">
      <c r="G1458" s="116"/>
      <c r="H1458" s="117"/>
      <c r="I1458" s="118"/>
      <c r="J1458" s="119"/>
      <c r="K1458" s="116"/>
      <c r="L1458" s="117"/>
      <c r="M1458" s="118"/>
      <c r="N1458" s="119"/>
    </row>
    <row r="1459" spans="7:14">
      <c r="G1459" s="116"/>
      <c r="H1459" s="117"/>
      <c r="I1459" s="118"/>
      <c r="J1459" s="119"/>
      <c r="K1459" s="116"/>
      <c r="L1459" s="117"/>
      <c r="M1459" s="118"/>
      <c r="N1459" s="119"/>
    </row>
    <row r="1460" spans="7:14">
      <c r="G1460" s="116"/>
      <c r="H1460" s="117"/>
      <c r="I1460" s="118"/>
      <c r="J1460" s="119"/>
      <c r="K1460" s="116"/>
      <c r="L1460" s="117"/>
      <c r="M1460" s="118"/>
      <c r="N1460" s="119"/>
    </row>
    <row r="1461" spans="7:14">
      <c r="G1461" s="116"/>
      <c r="H1461" s="117"/>
      <c r="I1461" s="118"/>
      <c r="J1461" s="119"/>
      <c r="K1461" s="116"/>
      <c r="L1461" s="117"/>
      <c r="M1461" s="118"/>
      <c r="N1461" s="119"/>
    </row>
    <row r="1462" spans="7:14">
      <c r="G1462" s="116"/>
      <c r="H1462" s="117"/>
      <c r="I1462" s="118"/>
      <c r="J1462" s="119"/>
      <c r="K1462" s="116"/>
      <c r="L1462" s="117"/>
      <c r="M1462" s="118"/>
      <c r="N1462" s="119"/>
    </row>
    <row r="1463" spans="7:14">
      <c r="G1463" s="116"/>
      <c r="H1463" s="117"/>
      <c r="I1463" s="118"/>
      <c r="J1463" s="119"/>
      <c r="K1463" s="116"/>
      <c r="L1463" s="117"/>
      <c r="M1463" s="118"/>
      <c r="N1463" s="119"/>
    </row>
    <row r="1464" spans="7:14">
      <c r="G1464" s="116"/>
      <c r="H1464" s="117"/>
      <c r="I1464" s="118"/>
      <c r="J1464" s="119"/>
      <c r="K1464" s="116"/>
      <c r="L1464" s="117"/>
      <c r="M1464" s="118"/>
      <c r="N1464" s="119"/>
    </row>
    <row r="1465" spans="7:14">
      <c r="G1465" s="116"/>
      <c r="H1465" s="117"/>
      <c r="I1465" s="118"/>
      <c r="J1465" s="119"/>
      <c r="K1465" s="116"/>
      <c r="L1465" s="117"/>
      <c r="M1465" s="118"/>
      <c r="N1465" s="119"/>
    </row>
    <row r="1466" spans="7:14">
      <c r="G1466" s="116"/>
      <c r="H1466" s="117"/>
      <c r="I1466" s="118"/>
      <c r="J1466" s="119"/>
      <c r="K1466" s="116"/>
      <c r="L1466" s="117"/>
      <c r="M1466" s="118"/>
      <c r="N1466" s="119"/>
    </row>
    <row r="1467" spans="7:14">
      <c r="G1467" s="116"/>
      <c r="H1467" s="117"/>
      <c r="I1467" s="118"/>
      <c r="J1467" s="119"/>
      <c r="K1467" s="116"/>
      <c r="L1467" s="117"/>
      <c r="M1467" s="118"/>
      <c r="N1467" s="119"/>
    </row>
    <row r="1468" spans="7:14">
      <c r="G1468" s="116"/>
      <c r="H1468" s="117"/>
      <c r="I1468" s="118"/>
      <c r="J1468" s="119"/>
      <c r="K1468" s="116"/>
      <c r="L1468" s="117"/>
      <c r="M1468" s="118"/>
      <c r="N1468" s="119"/>
    </row>
    <row r="1469" spans="7:14">
      <c r="G1469" s="116"/>
      <c r="H1469" s="117"/>
      <c r="I1469" s="118"/>
      <c r="J1469" s="119"/>
      <c r="K1469" s="116"/>
      <c r="L1469" s="117"/>
      <c r="M1469" s="118"/>
      <c r="N1469" s="119"/>
    </row>
    <row r="1470" spans="7:14">
      <c r="G1470" s="116"/>
      <c r="H1470" s="117"/>
      <c r="I1470" s="118"/>
      <c r="J1470" s="119"/>
      <c r="K1470" s="116"/>
      <c r="L1470" s="117"/>
      <c r="M1470" s="118"/>
      <c r="N1470" s="119"/>
    </row>
    <row r="1471" spans="7:14">
      <c r="G1471" s="116"/>
      <c r="H1471" s="117"/>
      <c r="I1471" s="118"/>
      <c r="J1471" s="119"/>
      <c r="K1471" s="116"/>
      <c r="L1471" s="117"/>
      <c r="M1471" s="118"/>
      <c r="N1471" s="119"/>
    </row>
    <row r="1472" spans="7:14">
      <c r="G1472" s="116"/>
      <c r="H1472" s="117"/>
      <c r="I1472" s="118"/>
      <c r="J1472" s="119"/>
      <c r="K1472" s="116"/>
      <c r="L1472" s="117"/>
      <c r="M1472" s="118"/>
      <c r="N1472" s="119"/>
    </row>
    <row r="1473" spans="7:14">
      <c r="G1473" s="116"/>
      <c r="H1473" s="117"/>
      <c r="I1473" s="118"/>
      <c r="J1473" s="119"/>
      <c r="K1473" s="116"/>
      <c r="L1473" s="117"/>
      <c r="M1473" s="118"/>
      <c r="N1473" s="119"/>
    </row>
    <row r="1474" spans="7:14">
      <c r="G1474" s="116"/>
      <c r="H1474" s="117"/>
      <c r="I1474" s="118"/>
      <c r="J1474" s="119"/>
      <c r="K1474" s="116"/>
      <c r="L1474" s="117"/>
      <c r="M1474" s="118"/>
      <c r="N1474" s="119"/>
    </row>
    <row r="1475" spans="7:14">
      <c r="G1475" s="116"/>
      <c r="H1475" s="117"/>
      <c r="I1475" s="118"/>
      <c r="J1475" s="119"/>
      <c r="K1475" s="116"/>
      <c r="L1475" s="117"/>
      <c r="M1475" s="118"/>
      <c r="N1475" s="119"/>
    </row>
    <row r="1476" spans="7:14">
      <c r="G1476" s="116"/>
      <c r="H1476" s="117"/>
      <c r="I1476" s="118"/>
      <c r="J1476" s="119"/>
      <c r="K1476" s="116"/>
      <c r="L1476" s="117"/>
      <c r="M1476" s="118"/>
      <c r="N1476" s="119"/>
    </row>
    <row r="1477" spans="7:14">
      <c r="G1477" s="116"/>
      <c r="H1477" s="117"/>
      <c r="I1477" s="118"/>
      <c r="J1477" s="119"/>
      <c r="K1477" s="116"/>
      <c r="L1477" s="117"/>
      <c r="M1477" s="118"/>
      <c r="N1477" s="119"/>
    </row>
    <row r="1478" spans="7:14">
      <c r="G1478" s="116"/>
      <c r="H1478" s="117"/>
      <c r="I1478" s="118"/>
      <c r="J1478" s="119"/>
      <c r="K1478" s="116"/>
      <c r="L1478" s="117"/>
      <c r="M1478" s="118"/>
      <c r="N1478" s="119"/>
    </row>
    <row r="1479" spans="7:14">
      <c r="G1479" s="116"/>
      <c r="H1479" s="117"/>
      <c r="I1479" s="118"/>
      <c r="J1479" s="119"/>
      <c r="K1479" s="116"/>
      <c r="L1479" s="117"/>
      <c r="M1479" s="118"/>
      <c r="N1479" s="119"/>
    </row>
    <row r="1480" spans="7:14">
      <c r="G1480" s="116"/>
      <c r="H1480" s="117"/>
      <c r="I1480" s="118"/>
      <c r="J1480" s="119"/>
      <c r="K1480" s="116"/>
      <c r="L1480" s="117"/>
      <c r="M1480" s="118"/>
      <c r="N1480" s="119"/>
    </row>
    <row r="1481" spans="7:14">
      <c r="G1481" s="116"/>
      <c r="H1481" s="117"/>
      <c r="I1481" s="118"/>
      <c r="J1481" s="119"/>
      <c r="K1481" s="116"/>
      <c r="L1481" s="117"/>
      <c r="M1481" s="118"/>
      <c r="N1481" s="119"/>
    </row>
    <row r="1482" spans="7:14">
      <c r="G1482" s="116"/>
      <c r="H1482" s="117"/>
      <c r="I1482" s="118"/>
      <c r="J1482" s="119"/>
      <c r="K1482" s="116"/>
      <c r="L1482" s="117"/>
      <c r="M1482" s="118"/>
      <c r="N1482" s="119"/>
    </row>
    <row r="1483" spans="7:14">
      <c r="G1483" s="116"/>
      <c r="H1483" s="117"/>
      <c r="I1483" s="118"/>
      <c r="J1483" s="119"/>
      <c r="K1483" s="116"/>
      <c r="L1483" s="117"/>
      <c r="M1483" s="118"/>
      <c r="N1483" s="119"/>
    </row>
    <row r="1484" spans="7:14">
      <c r="G1484" s="116"/>
      <c r="H1484" s="117"/>
      <c r="I1484" s="118"/>
      <c r="J1484" s="119"/>
      <c r="K1484" s="116"/>
      <c r="L1484" s="117"/>
      <c r="M1484" s="118"/>
      <c r="N1484" s="119"/>
    </row>
    <row r="1485" spans="7:14">
      <c r="G1485" s="116"/>
      <c r="H1485" s="117"/>
      <c r="I1485" s="118"/>
      <c r="J1485" s="119"/>
      <c r="K1485" s="116"/>
      <c r="L1485" s="117"/>
      <c r="M1485" s="118"/>
      <c r="N1485" s="119"/>
    </row>
    <row r="1486" spans="7:14">
      <c r="G1486" s="116"/>
      <c r="H1486" s="117"/>
      <c r="I1486" s="118"/>
      <c r="J1486" s="119"/>
      <c r="K1486" s="116"/>
      <c r="L1486" s="117"/>
      <c r="M1486" s="118"/>
      <c r="N1486" s="119"/>
    </row>
    <row r="1487" spans="7:14">
      <c r="G1487" s="116"/>
      <c r="H1487" s="117"/>
      <c r="I1487" s="118"/>
      <c r="J1487" s="119"/>
      <c r="K1487" s="116"/>
      <c r="L1487" s="117"/>
      <c r="M1487" s="118"/>
      <c r="N1487" s="119"/>
    </row>
    <row r="1488" spans="7:14">
      <c r="G1488" s="116"/>
      <c r="H1488" s="117"/>
      <c r="I1488" s="118"/>
      <c r="J1488" s="119"/>
      <c r="K1488" s="116"/>
      <c r="L1488" s="117"/>
      <c r="M1488" s="118"/>
      <c r="N1488" s="119"/>
    </row>
    <row r="1489" spans="7:14">
      <c r="G1489" s="116"/>
      <c r="H1489" s="117"/>
      <c r="I1489" s="118"/>
      <c r="J1489" s="119"/>
      <c r="K1489" s="116"/>
      <c r="L1489" s="117"/>
      <c r="M1489" s="118"/>
      <c r="N1489" s="119"/>
    </row>
    <row r="1490" spans="7:14">
      <c r="G1490" s="116"/>
      <c r="H1490" s="117"/>
      <c r="I1490" s="118"/>
      <c r="J1490" s="119"/>
      <c r="K1490" s="116"/>
      <c r="L1490" s="117"/>
      <c r="M1490" s="118"/>
      <c r="N1490" s="119"/>
    </row>
    <row r="1491" spans="7:14">
      <c r="G1491" s="116"/>
      <c r="H1491" s="117"/>
      <c r="I1491" s="118"/>
      <c r="J1491" s="119"/>
      <c r="K1491" s="116"/>
      <c r="L1491" s="117"/>
      <c r="M1491" s="118"/>
      <c r="N1491" s="119"/>
    </row>
    <row r="1492" spans="7:14">
      <c r="G1492" s="116"/>
      <c r="H1492" s="117"/>
      <c r="I1492" s="118"/>
      <c r="J1492" s="119"/>
      <c r="K1492" s="116"/>
      <c r="L1492" s="117"/>
      <c r="M1492" s="118"/>
      <c r="N1492" s="119"/>
    </row>
    <row r="1493" spans="7:14">
      <c r="G1493" s="116"/>
      <c r="H1493" s="117"/>
      <c r="I1493" s="118"/>
      <c r="J1493" s="119"/>
      <c r="K1493" s="116"/>
      <c r="L1493" s="117"/>
      <c r="M1493" s="118"/>
      <c r="N1493" s="119"/>
    </row>
    <row r="1494" spans="7:14">
      <c r="G1494" s="116"/>
      <c r="H1494" s="117"/>
      <c r="I1494" s="118"/>
      <c r="J1494" s="119"/>
      <c r="K1494" s="116"/>
      <c r="L1494" s="117"/>
      <c r="M1494" s="118"/>
      <c r="N1494" s="119"/>
    </row>
    <row r="1495" spans="7:14">
      <c r="G1495" s="116"/>
      <c r="H1495" s="117"/>
      <c r="I1495" s="118"/>
      <c r="J1495" s="119"/>
      <c r="K1495" s="116"/>
      <c r="L1495" s="117"/>
      <c r="M1495" s="118"/>
      <c r="N1495" s="119"/>
    </row>
    <row r="1496" spans="7:14">
      <c r="G1496" s="116"/>
      <c r="H1496" s="117"/>
      <c r="I1496" s="118"/>
      <c r="J1496" s="119"/>
      <c r="K1496" s="116"/>
      <c r="L1496" s="117"/>
      <c r="M1496" s="118"/>
      <c r="N1496" s="119"/>
    </row>
    <row r="1497" spans="7:14">
      <c r="G1497" s="116"/>
      <c r="H1497" s="117"/>
      <c r="I1497" s="118"/>
      <c r="J1497" s="119"/>
      <c r="K1497" s="116"/>
      <c r="L1497" s="117"/>
      <c r="M1497" s="118"/>
      <c r="N1497" s="119"/>
    </row>
    <row r="1498" spans="7:14">
      <c r="G1498" s="116"/>
      <c r="H1498" s="117"/>
      <c r="I1498" s="118"/>
      <c r="J1498" s="119"/>
      <c r="K1498" s="116"/>
      <c r="L1498" s="117"/>
      <c r="M1498" s="118"/>
      <c r="N1498" s="119"/>
    </row>
    <row r="1499" spans="7:14">
      <c r="G1499" s="116"/>
      <c r="H1499" s="117"/>
      <c r="I1499" s="118"/>
      <c r="J1499" s="119"/>
      <c r="K1499" s="116"/>
      <c r="L1499" s="117"/>
      <c r="M1499" s="118"/>
      <c r="N1499" s="119"/>
    </row>
    <row r="1500" spans="7:14">
      <c r="G1500" s="116"/>
      <c r="H1500" s="117"/>
      <c r="I1500" s="118"/>
      <c r="J1500" s="119"/>
      <c r="K1500" s="116"/>
      <c r="L1500" s="117"/>
      <c r="M1500" s="118"/>
      <c r="N1500" s="119"/>
    </row>
    <row r="1501" spans="7:14">
      <c r="G1501" s="116"/>
      <c r="H1501" s="117"/>
      <c r="I1501" s="118"/>
      <c r="J1501" s="119"/>
      <c r="K1501" s="116"/>
      <c r="L1501" s="117"/>
      <c r="M1501" s="118"/>
      <c r="N1501" s="119"/>
    </row>
    <row r="1502" spans="7:14">
      <c r="G1502" s="116"/>
      <c r="H1502" s="117"/>
      <c r="I1502" s="118"/>
      <c r="J1502" s="119"/>
      <c r="K1502" s="116"/>
      <c r="L1502" s="117"/>
      <c r="M1502" s="118"/>
      <c r="N1502" s="119"/>
    </row>
    <row r="1503" spans="7:14">
      <c r="G1503" s="116"/>
      <c r="H1503" s="117"/>
      <c r="I1503" s="118"/>
      <c r="J1503" s="119"/>
      <c r="K1503" s="116"/>
      <c r="L1503" s="117"/>
      <c r="M1503" s="118"/>
      <c r="N1503" s="119"/>
    </row>
    <row r="1504" spans="7:14">
      <c r="G1504" s="116"/>
      <c r="H1504" s="117"/>
      <c r="I1504" s="118"/>
      <c r="J1504" s="119"/>
      <c r="K1504" s="116"/>
      <c r="L1504" s="117"/>
      <c r="M1504" s="118"/>
      <c r="N1504" s="119"/>
    </row>
    <row r="1505" spans="7:14">
      <c r="G1505" s="116"/>
      <c r="H1505" s="117"/>
      <c r="I1505" s="118"/>
      <c r="J1505" s="119"/>
      <c r="K1505" s="116"/>
      <c r="L1505" s="117"/>
      <c r="M1505" s="118"/>
      <c r="N1505" s="119"/>
    </row>
    <row r="1506" spans="7:14">
      <c r="G1506" s="116"/>
      <c r="H1506" s="117"/>
      <c r="I1506" s="118"/>
      <c r="J1506" s="119"/>
      <c r="K1506" s="116"/>
      <c r="L1506" s="117"/>
      <c r="M1506" s="118"/>
      <c r="N1506" s="119"/>
    </row>
    <row r="1507" spans="7:14">
      <c r="G1507" s="116"/>
      <c r="H1507" s="117"/>
      <c r="I1507" s="118"/>
      <c r="J1507" s="119"/>
      <c r="K1507" s="116"/>
      <c r="L1507" s="117"/>
      <c r="M1507" s="118"/>
      <c r="N1507" s="119"/>
    </row>
    <row r="1508" spans="7:14">
      <c r="G1508" s="116"/>
      <c r="H1508" s="117"/>
      <c r="I1508" s="118"/>
      <c r="J1508" s="119"/>
      <c r="K1508" s="116"/>
      <c r="L1508" s="117"/>
      <c r="M1508" s="118"/>
      <c r="N1508" s="119"/>
    </row>
    <row r="1509" spans="7:14">
      <c r="G1509" s="116"/>
      <c r="H1509" s="117"/>
      <c r="I1509" s="118"/>
      <c r="J1509" s="119"/>
      <c r="K1509" s="116"/>
      <c r="L1509" s="117"/>
      <c r="M1509" s="118"/>
      <c r="N1509" s="119"/>
    </row>
    <row r="1510" spans="7:14">
      <c r="G1510" s="116"/>
      <c r="H1510" s="117"/>
      <c r="I1510" s="118"/>
      <c r="J1510" s="119"/>
      <c r="K1510" s="116"/>
      <c r="L1510" s="117"/>
      <c r="M1510" s="118"/>
      <c r="N1510" s="119"/>
    </row>
    <row r="1511" spans="7:14">
      <c r="G1511" s="116"/>
      <c r="H1511" s="117"/>
      <c r="I1511" s="118"/>
      <c r="J1511" s="119"/>
      <c r="K1511" s="116"/>
      <c r="L1511" s="117"/>
      <c r="M1511" s="118"/>
      <c r="N1511" s="119"/>
    </row>
    <row r="1512" spans="7:14">
      <c r="G1512" s="116"/>
      <c r="H1512" s="117"/>
      <c r="I1512" s="118"/>
      <c r="J1512" s="119"/>
      <c r="K1512" s="116"/>
      <c r="L1512" s="117"/>
      <c r="M1512" s="118"/>
      <c r="N1512" s="119"/>
    </row>
    <row r="1513" spans="7:14">
      <c r="G1513" s="116"/>
      <c r="H1513" s="117"/>
      <c r="I1513" s="118"/>
      <c r="J1513" s="119"/>
      <c r="K1513" s="116"/>
      <c r="L1513" s="117"/>
      <c r="M1513" s="118"/>
      <c r="N1513" s="119"/>
    </row>
    <row r="1514" spans="7:14">
      <c r="G1514" s="116"/>
      <c r="H1514" s="117"/>
      <c r="I1514" s="118"/>
      <c r="J1514" s="119"/>
      <c r="K1514" s="116"/>
      <c r="L1514" s="117"/>
      <c r="M1514" s="118"/>
      <c r="N1514" s="119"/>
    </row>
    <row r="1515" spans="7:14">
      <c r="G1515" s="116"/>
      <c r="H1515" s="117"/>
      <c r="I1515" s="118"/>
      <c r="J1515" s="119"/>
      <c r="K1515" s="116"/>
      <c r="L1515" s="117"/>
      <c r="M1515" s="118"/>
      <c r="N1515" s="119"/>
    </row>
    <row r="1516" spans="7:14">
      <c r="G1516" s="116"/>
      <c r="H1516" s="117"/>
      <c r="I1516" s="118"/>
      <c r="J1516" s="119"/>
      <c r="K1516" s="116"/>
      <c r="L1516" s="117"/>
      <c r="M1516" s="118"/>
      <c r="N1516" s="119"/>
    </row>
    <row r="1517" spans="7:14">
      <c r="G1517" s="116"/>
      <c r="H1517" s="117"/>
      <c r="I1517" s="118"/>
      <c r="J1517" s="119"/>
      <c r="K1517" s="116"/>
      <c r="L1517" s="117"/>
      <c r="M1517" s="118"/>
      <c r="N1517" s="119"/>
    </row>
    <row r="1518" spans="7:14">
      <c r="G1518" s="116"/>
      <c r="H1518" s="117"/>
      <c r="I1518" s="118"/>
      <c r="J1518" s="119"/>
      <c r="K1518" s="116"/>
      <c r="L1518" s="117"/>
      <c r="M1518" s="118"/>
      <c r="N1518" s="119"/>
    </row>
    <row r="1519" spans="7:14">
      <c r="G1519" s="116"/>
      <c r="H1519" s="117"/>
      <c r="I1519" s="118"/>
      <c r="J1519" s="119"/>
      <c r="K1519" s="116"/>
      <c r="L1519" s="117"/>
      <c r="M1519" s="118"/>
      <c r="N1519" s="119"/>
    </row>
    <row r="1520" spans="7:14">
      <c r="G1520" s="116"/>
      <c r="H1520" s="117"/>
      <c r="I1520" s="118"/>
      <c r="J1520" s="119"/>
      <c r="K1520" s="116"/>
      <c r="L1520" s="117"/>
      <c r="M1520" s="118"/>
      <c r="N1520" s="119"/>
    </row>
    <row r="1521" spans="7:14">
      <c r="G1521" s="116"/>
      <c r="H1521" s="117"/>
      <c r="I1521" s="118"/>
      <c r="J1521" s="119"/>
      <c r="K1521" s="116"/>
      <c r="L1521" s="117"/>
      <c r="M1521" s="118"/>
      <c r="N1521" s="119"/>
    </row>
    <row r="1522" spans="7:14">
      <c r="G1522" s="116"/>
      <c r="H1522" s="117"/>
      <c r="I1522" s="118"/>
      <c r="J1522" s="119"/>
      <c r="K1522" s="116"/>
      <c r="L1522" s="117"/>
      <c r="M1522" s="118"/>
      <c r="N1522" s="119"/>
    </row>
    <row r="1523" spans="7:14">
      <c r="G1523" s="116"/>
      <c r="H1523" s="117"/>
      <c r="I1523" s="118"/>
      <c r="J1523" s="119"/>
      <c r="K1523" s="116"/>
      <c r="L1523" s="117"/>
      <c r="M1523" s="118"/>
      <c r="N1523" s="119"/>
    </row>
    <row r="1524" spans="7:14">
      <c r="G1524" s="116"/>
      <c r="H1524" s="117"/>
      <c r="I1524" s="118"/>
      <c r="J1524" s="119"/>
      <c r="K1524" s="116"/>
      <c r="L1524" s="117"/>
      <c r="M1524" s="118"/>
      <c r="N1524" s="119"/>
    </row>
    <row r="1525" spans="7:14">
      <c r="G1525" s="116"/>
      <c r="H1525" s="117"/>
      <c r="I1525" s="118"/>
      <c r="J1525" s="119"/>
      <c r="K1525" s="116"/>
      <c r="L1525" s="117"/>
      <c r="M1525" s="118"/>
      <c r="N1525" s="119"/>
    </row>
    <row r="1526" spans="7:14">
      <c r="G1526" s="116"/>
      <c r="H1526" s="117"/>
      <c r="I1526" s="118"/>
      <c r="J1526" s="119"/>
      <c r="K1526" s="116"/>
      <c r="L1526" s="117"/>
      <c r="M1526" s="118"/>
      <c r="N1526" s="119"/>
    </row>
    <row r="1527" spans="7:14">
      <c r="G1527" s="116"/>
      <c r="H1527" s="117"/>
      <c r="I1527" s="118"/>
      <c r="J1527" s="119"/>
      <c r="K1527" s="116"/>
      <c r="L1527" s="117"/>
      <c r="M1527" s="118"/>
      <c r="N1527" s="119"/>
    </row>
    <row r="1528" spans="7:14">
      <c r="G1528" s="116"/>
      <c r="H1528" s="117"/>
      <c r="I1528" s="118"/>
      <c r="J1528" s="119"/>
      <c r="K1528" s="116"/>
      <c r="L1528" s="117"/>
      <c r="M1528" s="118"/>
      <c r="N1528" s="119"/>
    </row>
    <row r="1529" spans="7:14">
      <c r="G1529" s="116"/>
      <c r="H1529" s="117"/>
      <c r="I1529" s="118"/>
      <c r="J1529" s="119"/>
      <c r="K1529" s="116"/>
      <c r="L1529" s="117"/>
      <c r="M1529" s="118"/>
      <c r="N1529" s="119"/>
    </row>
    <row r="1530" spans="7:14">
      <c r="G1530" s="116"/>
      <c r="H1530" s="117"/>
      <c r="I1530" s="118"/>
      <c r="J1530" s="119"/>
      <c r="K1530" s="116"/>
      <c r="L1530" s="117"/>
      <c r="M1530" s="118"/>
      <c r="N1530" s="119"/>
    </row>
    <row r="1531" spans="7:14">
      <c r="G1531" s="116"/>
      <c r="H1531" s="117"/>
      <c r="I1531" s="118"/>
      <c r="J1531" s="119"/>
      <c r="K1531" s="116"/>
      <c r="L1531" s="117"/>
      <c r="M1531" s="118"/>
      <c r="N1531" s="119"/>
    </row>
    <row r="1532" spans="7:14">
      <c r="G1532" s="116"/>
      <c r="H1532" s="117"/>
      <c r="I1532" s="118"/>
      <c r="J1532" s="119"/>
      <c r="K1532" s="116"/>
      <c r="L1532" s="117"/>
      <c r="M1532" s="118"/>
      <c r="N1532" s="119"/>
    </row>
    <row r="1533" spans="7:14">
      <c r="G1533" s="116"/>
      <c r="H1533" s="117"/>
      <c r="I1533" s="118"/>
      <c r="J1533" s="119"/>
      <c r="K1533" s="116"/>
      <c r="L1533" s="117"/>
      <c r="M1533" s="118"/>
      <c r="N1533" s="119"/>
    </row>
    <row r="1534" spans="7:14">
      <c r="G1534" s="116"/>
      <c r="H1534" s="117"/>
      <c r="I1534" s="118"/>
      <c r="J1534" s="119"/>
      <c r="K1534" s="116"/>
      <c r="L1534" s="117"/>
      <c r="M1534" s="118"/>
      <c r="N1534" s="119"/>
    </row>
    <row r="1535" spans="7:14">
      <c r="G1535" s="116"/>
      <c r="H1535" s="117"/>
      <c r="I1535" s="118"/>
      <c r="J1535" s="119"/>
      <c r="K1535" s="116"/>
      <c r="L1535" s="117"/>
      <c r="M1535" s="118"/>
      <c r="N1535" s="119"/>
    </row>
    <row r="1536" spans="7:14">
      <c r="G1536" s="116"/>
      <c r="H1536" s="117"/>
      <c r="I1536" s="118"/>
      <c r="J1536" s="119"/>
      <c r="K1536" s="116"/>
      <c r="L1536" s="117"/>
      <c r="M1536" s="118"/>
      <c r="N1536" s="119"/>
    </row>
    <row r="1537" spans="7:14">
      <c r="G1537" s="116"/>
      <c r="H1537" s="117"/>
      <c r="I1537" s="118"/>
      <c r="J1537" s="119"/>
      <c r="K1537" s="116"/>
      <c r="L1537" s="117"/>
      <c r="M1537" s="118"/>
      <c r="N1537" s="119"/>
    </row>
    <row r="1538" spans="7:14">
      <c r="G1538" s="116"/>
      <c r="H1538" s="117"/>
      <c r="I1538" s="118"/>
      <c r="J1538" s="119"/>
      <c r="K1538" s="116"/>
      <c r="L1538" s="117"/>
      <c r="M1538" s="118"/>
      <c r="N1538" s="119"/>
    </row>
    <row r="1539" spans="7:14">
      <c r="G1539" s="116"/>
      <c r="H1539" s="117"/>
      <c r="I1539" s="118"/>
      <c r="J1539" s="119"/>
      <c r="K1539" s="116"/>
      <c r="L1539" s="117"/>
      <c r="M1539" s="118"/>
      <c r="N1539" s="119"/>
    </row>
    <row r="1540" spans="7:14">
      <c r="G1540" s="116"/>
      <c r="H1540" s="117"/>
      <c r="I1540" s="118"/>
      <c r="J1540" s="119"/>
      <c r="K1540" s="116"/>
      <c r="L1540" s="117"/>
      <c r="M1540" s="118"/>
      <c r="N1540" s="119"/>
    </row>
    <row r="1541" spans="7:14">
      <c r="G1541" s="116"/>
      <c r="H1541" s="117"/>
      <c r="I1541" s="118"/>
      <c r="J1541" s="119"/>
      <c r="K1541" s="116"/>
      <c r="L1541" s="117"/>
      <c r="M1541" s="118"/>
      <c r="N1541" s="119"/>
    </row>
    <row r="1542" spans="7:14">
      <c r="G1542" s="116"/>
      <c r="H1542" s="117"/>
      <c r="I1542" s="118"/>
      <c r="J1542" s="119"/>
      <c r="K1542" s="116"/>
      <c r="L1542" s="117"/>
      <c r="M1542" s="118"/>
      <c r="N1542" s="119"/>
    </row>
    <row r="1543" spans="7:14">
      <c r="G1543" s="116"/>
      <c r="H1543" s="117"/>
      <c r="I1543" s="118"/>
      <c r="J1543" s="119"/>
      <c r="K1543" s="116"/>
      <c r="L1543" s="117"/>
      <c r="M1543" s="118"/>
      <c r="N1543" s="119"/>
    </row>
    <row r="1544" spans="7:14">
      <c r="G1544" s="116"/>
      <c r="H1544" s="117"/>
      <c r="I1544" s="118"/>
      <c r="J1544" s="119"/>
      <c r="K1544" s="116"/>
      <c r="L1544" s="117"/>
      <c r="M1544" s="118"/>
      <c r="N1544" s="119"/>
    </row>
    <row r="1545" spans="7:14">
      <c r="G1545" s="116"/>
      <c r="H1545" s="117"/>
      <c r="I1545" s="118"/>
      <c r="J1545" s="119"/>
      <c r="K1545" s="116"/>
      <c r="L1545" s="117"/>
      <c r="M1545" s="118"/>
      <c r="N1545" s="119"/>
    </row>
    <row r="1546" spans="7:14">
      <c r="G1546" s="116"/>
      <c r="H1546" s="117"/>
      <c r="I1546" s="118"/>
      <c r="J1546" s="119"/>
      <c r="K1546" s="116"/>
      <c r="L1546" s="117"/>
      <c r="M1546" s="118"/>
      <c r="N1546" s="119"/>
    </row>
    <row r="1547" spans="7:14">
      <c r="G1547" s="116"/>
      <c r="H1547" s="117"/>
      <c r="I1547" s="118"/>
      <c r="J1547" s="119"/>
      <c r="K1547" s="116"/>
      <c r="L1547" s="117"/>
      <c r="M1547" s="118"/>
      <c r="N1547" s="119"/>
    </row>
    <row r="1548" spans="7:14">
      <c r="G1548" s="116"/>
      <c r="H1548" s="117"/>
      <c r="I1548" s="118"/>
      <c r="J1548" s="119"/>
      <c r="K1548" s="116"/>
      <c r="L1548" s="117"/>
      <c r="M1548" s="118"/>
      <c r="N1548" s="119"/>
    </row>
    <row r="1549" spans="7:14">
      <c r="G1549" s="116"/>
      <c r="H1549" s="117"/>
      <c r="I1549" s="118"/>
      <c r="J1549" s="119"/>
      <c r="K1549" s="116"/>
      <c r="L1549" s="117"/>
      <c r="M1549" s="118"/>
      <c r="N1549" s="119"/>
    </row>
    <row r="1550" spans="7:14">
      <c r="G1550" s="116"/>
      <c r="H1550" s="117"/>
      <c r="I1550" s="118"/>
      <c r="J1550" s="119"/>
      <c r="K1550" s="116"/>
      <c r="L1550" s="117"/>
      <c r="M1550" s="118"/>
      <c r="N1550" s="119"/>
    </row>
    <row r="1551" spans="7:14">
      <c r="G1551" s="116"/>
      <c r="H1551" s="117"/>
      <c r="I1551" s="118"/>
      <c r="J1551" s="119"/>
      <c r="K1551" s="116"/>
      <c r="L1551" s="117"/>
      <c r="M1551" s="118"/>
      <c r="N1551" s="119"/>
    </row>
    <row r="1552" spans="7:14">
      <c r="G1552" s="116"/>
      <c r="H1552" s="117"/>
      <c r="I1552" s="118"/>
      <c r="J1552" s="119"/>
      <c r="K1552" s="116"/>
      <c r="L1552" s="117"/>
      <c r="M1552" s="118"/>
      <c r="N1552" s="119"/>
    </row>
    <row r="1553" spans="7:14">
      <c r="G1553" s="116"/>
      <c r="H1553" s="117"/>
      <c r="I1553" s="118"/>
      <c r="J1553" s="119"/>
      <c r="K1553" s="116"/>
      <c r="L1553" s="117"/>
      <c r="M1553" s="118"/>
      <c r="N1553" s="119"/>
    </row>
    <row r="1554" spans="7:14">
      <c r="G1554" s="116"/>
      <c r="H1554" s="117"/>
      <c r="I1554" s="118"/>
      <c r="J1554" s="119"/>
      <c r="K1554" s="116"/>
      <c r="L1554" s="117"/>
      <c r="M1554" s="118"/>
      <c r="N1554" s="119"/>
    </row>
    <row r="1555" spans="7:14">
      <c r="G1555" s="116"/>
      <c r="H1555" s="117"/>
      <c r="I1555" s="118"/>
      <c r="J1555" s="119"/>
      <c r="K1555" s="116"/>
      <c r="L1555" s="117"/>
      <c r="M1555" s="118"/>
      <c r="N1555" s="119"/>
    </row>
    <row r="1556" spans="7:14">
      <c r="G1556" s="116"/>
      <c r="H1556" s="117"/>
      <c r="I1556" s="118"/>
      <c r="J1556" s="119"/>
      <c r="K1556" s="116"/>
      <c r="L1556" s="117"/>
      <c r="M1556" s="118"/>
      <c r="N1556" s="119"/>
    </row>
    <row r="1557" spans="7:14">
      <c r="G1557" s="116"/>
      <c r="H1557" s="117"/>
      <c r="I1557" s="118"/>
      <c r="J1557" s="119"/>
      <c r="K1557" s="116"/>
      <c r="L1557" s="117"/>
      <c r="M1557" s="118"/>
      <c r="N1557" s="119"/>
    </row>
    <row r="1558" spans="7:14">
      <c r="G1558" s="116"/>
      <c r="H1558" s="117"/>
      <c r="I1558" s="118"/>
      <c r="J1558" s="119"/>
      <c r="K1558" s="116"/>
      <c r="L1558" s="117"/>
      <c r="M1558" s="118"/>
      <c r="N1558" s="119"/>
    </row>
    <row r="1559" spans="7:14">
      <c r="G1559" s="116"/>
      <c r="H1559" s="117"/>
      <c r="I1559" s="118"/>
      <c r="J1559" s="119"/>
      <c r="K1559" s="116"/>
      <c r="L1559" s="117"/>
      <c r="M1559" s="118"/>
      <c r="N1559" s="119"/>
    </row>
    <row r="1560" spans="7:14">
      <c r="G1560" s="116"/>
      <c r="H1560" s="117"/>
      <c r="I1560" s="118"/>
      <c r="J1560" s="119"/>
      <c r="K1560" s="116"/>
      <c r="L1560" s="117"/>
      <c r="M1560" s="118"/>
      <c r="N1560" s="119"/>
    </row>
    <row r="1561" spans="7:14">
      <c r="G1561" s="116"/>
      <c r="H1561" s="117"/>
      <c r="I1561" s="118"/>
      <c r="J1561" s="119"/>
      <c r="K1561" s="116"/>
      <c r="L1561" s="117"/>
      <c r="M1561" s="118"/>
      <c r="N1561" s="119"/>
    </row>
    <row r="1562" spans="7:14">
      <c r="G1562" s="116"/>
      <c r="H1562" s="117"/>
      <c r="I1562" s="118"/>
      <c r="J1562" s="119"/>
      <c r="K1562" s="116"/>
      <c r="L1562" s="117"/>
      <c r="M1562" s="118"/>
      <c r="N1562" s="119"/>
    </row>
    <row r="1563" spans="7:14">
      <c r="G1563" s="116"/>
      <c r="H1563" s="117"/>
      <c r="I1563" s="118"/>
      <c r="J1563" s="119"/>
      <c r="K1563" s="116"/>
      <c r="L1563" s="117"/>
      <c r="M1563" s="118"/>
      <c r="N1563" s="119"/>
    </row>
    <row r="1564" spans="7:14">
      <c r="G1564" s="116"/>
      <c r="H1564" s="117"/>
      <c r="I1564" s="118"/>
      <c r="J1564" s="119"/>
      <c r="K1564" s="116"/>
      <c r="L1564" s="117"/>
      <c r="M1564" s="118"/>
      <c r="N1564" s="119"/>
    </row>
    <row r="1565" spans="7:14">
      <c r="G1565" s="116"/>
      <c r="H1565" s="117"/>
      <c r="I1565" s="118"/>
      <c r="J1565" s="119"/>
      <c r="K1565" s="116"/>
      <c r="L1565" s="117"/>
      <c r="M1565" s="118"/>
      <c r="N1565" s="119"/>
    </row>
    <row r="1566" spans="7:14">
      <c r="G1566" s="116"/>
      <c r="H1566" s="117"/>
      <c r="I1566" s="118"/>
      <c r="J1566" s="119"/>
      <c r="K1566" s="116"/>
      <c r="L1566" s="117"/>
      <c r="M1566" s="118"/>
      <c r="N1566" s="119"/>
    </row>
    <row r="1567" spans="7:14">
      <c r="G1567" s="116"/>
      <c r="H1567" s="117"/>
      <c r="I1567" s="118"/>
      <c r="J1567" s="119"/>
      <c r="K1567" s="116"/>
      <c r="L1567" s="117"/>
      <c r="M1567" s="118"/>
      <c r="N1567" s="119"/>
    </row>
    <row r="1568" spans="7:14">
      <c r="G1568" s="116"/>
      <c r="H1568" s="117"/>
      <c r="I1568" s="118"/>
      <c r="J1568" s="119"/>
      <c r="K1568" s="116"/>
      <c r="L1568" s="117"/>
      <c r="M1568" s="118"/>
      <c r="N1568" s="119"/>
    </row>
    <row r="1569" spans="7:14">
      <c r="G1569" s="116"/>
      <c r="H1569" s="117"/>
      <c r="I1569" s="118"/>
      <c r="J1569" s="119"/>
      <c r="K1569" s="116"/>
      <c r="L1569" s="117"/>
      <c r="M1569" s="118"/>
      <c r="N1569" s="119"/>
    </row>
    <row r="1570" spans="7:14">
      <c r="G1570" s="116"/>
      <c r="H1570" s="117"/>
      <c r="I1570" s="118"/>
      <c r="J1570" s="119"/>
      <c r="K1570" s="116"/>
      <c r="L1570" s="117"/>
      <c r="M1570" s="118"/>
      <c r="N1570" s="119"/>
    </row>
    <row r="1571" spans="7:14">
      <c r="G1571" s="116"/>
      <c r="H1571" s="117"/>
      <c r="I1571" s="118"/>
      <c r="J1571" s="119"/>
      <c r="K1571" s="116"/>
      <c r="L1571" s="117"/>
      <c r="M1571" s="118"/>
      <c r="N1571" s="119"/>
    </row>
    <row r="1572" spans="7:14">
      <c r="G1572" s="116"/>
      <c r="H1572" s="117"/>
      <c r="I1572" s="118"/>
      <c r="J1572" s="119"/>
      <c r="K1572" s="116"/>
      <c r="L1572" s="117"/>
      <c r="M1572" s="118"/>
      <c r="N1572" s="119"/>
    </row>
    <row r="1573" spans="7:14">
      <c r="G1573" s="116"/>
      <c r="H1573" s="117"/>
      <c r="I1573" s="118"/>
      <c r="J1573" s="119"/>
      <c r="K1573" s="116"/>
      <c r="L1573" s="117"/>
      <c r="M1573" s="118"/>
      <c r="N1573" s="119"/>
    </row>
    <row r="1574" spans="7:14">
      <c r="G1574" s="116"/>
      <c r="H1574" s="117"/>
      <c r="I1574" s="118"/>
      <c r="J1574" s="119"/>
      <c r="K1574" s="116"/>
      <c r="L1574" s="117"/>
      <c r="M1574" s="118"/>
      <c r="N1574" s="119"/>
    </row>
    <row r="1575" spans="7:14">
      <c r="G1575" s="116"/>
      <c r="H1575" s="117"/>
      <c r="I1575" s="118"/>
      <c r="J1575" s="119"/>
      <c r="K1575" s="116"/>
      <c r="L1575" s="117"/>
      <c r="M1575" s="118"/>
      <c r="N1575" s="119"/>
    </row>
    <row r="1576" spans="7:14">
      <c r="G1576" s="116"/>
      <c r="H1576" s="117"/>
      <c r="I1576" s="118"/>
      <c r="J1576" s="119"/>
      <c r="K1576" s="116"/>
      <c r="L1576" s="117"/>
      <c r="M1576" s="118"/>
      <c r="N1576" s="119"/>
    </row>
    <row r="1577" spans="7:14">
      <c r="G1577" s="116"/>
      <c r="H1577" s="117"/>
      <c r="I1577" s="118"/>
      <c r="J1577" s="119"/>
      <c r="K1577" s="116"/>
      <c r="L1577" s="117"/>
      <c r="M1577" s="118"/>
      <c r="N1577" s="119"/>
    </row>
    <row r="1578" spans="7:14">
      <c r="G1578" s="116"/>
      <c r="H1578" s="117"/>
      <c r="I1578" s="118"/>
      <c r="J1578" s="119"/>
      <c r="K1578" s="116"/>
      <c r="L1578" s="117"/>
      <c r="M1578" s="118"/>
      <c r="N1578" s="119"/>
    </row>
    <row r="1579" spans="7:14">
      <c r="G1579" s="116"/>
      <c r="H1579" s="117"/>
      <c r="I1579" s="118"/>
      <c r="J1579" s="119"/>
      <c r="K1579" s="116"/>
      <c r="L1579" s="117"/>
      <c r="M1579" s="118"/>
      <c r="N1579" s="119"/>
    </row>
    <row r="1580" spans="7:14">
      <c r="G1580" s="116"/>
      <c r="H1580" s="117"/>
      <c r="I1580" s="118"/>
      <c r="J1580" s="119"/>
      <c r="K1580" s="116"/>
      <c r="L1580" s="117"/>
      <c r="M1580" s="118"/>
      <c r="N1580" s="119"/>
    </row>
    <row r="1581" spans="7:14">
      <c r="G1581" s="116"/>
      <c r="H1581" s="117"/>
      <c r="I1581" s="118"/>
      <c r="J1581" s="119"/>
      <c r="K1581" s="116"/>
      <c r="L1581" s="117"/>
      <c r="M1581" s="118"/>
      <c r="N1581" s="119"/>
    </row>
    <row r="1582" spans="7:14">
      <c r="G1582" s="116"/>
      <c r="H1582" s="117"/>
      <c r="I1582" s="118"/>
      <c r="J1582" s="119"/>
      <c r="K1582" s="116"/>
      <c r="L1582" s="117"/>
      <c r="M1582" s="118"/>
      <c r="N1582" s="119"/>
    </row>
    <row r="1583" spans="7:14">
      <c r="G1583" s="116"/>
      <c r="H1583" s="117"/>
      <c r="I1583" s="118"/>
      <c r="J1583" s="119"/>
      <c r="K1583" s="116"/>
      <c r="L1583" s="117"/>
      <c r="M1583" s="118"/>
      <c r="N1583" s="119"/>
    </row>
    <row r="1584" spans="7:14">
      <c r="G1584" s="116"/>
      <c r="H1584" s="117"/>
      <c r="I1584" s="118"/>
      <c r="J1584" s="119"/>
      <c r="K1584" s="116"/>
      <c r="L1584" s="117"/>
      <c r="M1584" s="118"/>
      <c r="N1584" s="119"/>
    </row>
    <row r="1585" spans="7:14">
      <c r="G1585" s="116"/>
      <c r="H1585" s="117"/>
      <c r="I1585" s="118"/>
      <c r="J1585" s="119"/>
      <c r="K1585" s="116"/>
      <c r="L1585" s="117"/>
      <c r="M1585" s="118"/>
      <c r="N1585" s="119"/>
    </row>
    <row r="1586" spans="7:14">
      <c r="G1586" s="116"/>
      <c r="H1586" s="117"/>
      <c r="I1586" s="118"/>
      <c r="J1586" s="119"/>
      <c r="K1586" s="116"/>
      <c r="L1586" s="117"/>
      <c r="M1586" s="118"/>
      <c r="N1586" s="119"/>
    </row>
    <row r="1587" spans="7:14">
      <c r="G1587" s="116"/>
      <c r="H1587" s="117"/>
      <c r="I1587" s="118"/>
      <c r="J1587" s="119"/>
      <c r="K1587" s="116"/>
      <c r="L1587" s="117"/>
      <c r="M1587" s="118"/>
      <c r="N1587" s="119"/>
    </row>
    <row r="1588" spans="7:14">
      <c r="G1588" s="116"/>
      <c r="H1588" s="117"/>
      <c r="I1588" s="118"/>
      <c r="J1588" s="119"/>
      <c r="K1588" s="116"/>
      <c r="L1588" s="117"/>
      <c r="M1588" s="118"/>
      <c r="N1588" s="119"/>
    </row>
    <row r="1589" spans="7:14">
      <c r="G1589" s="116"/>
      <c r="H1589" s="117"/>
      <c r="I1589" s="118"/>
      <c r="J1589" s="119"/>
      <c r="K1589" s="116"/>
      <c r="L1589" s="117"/>
      <c r="M1589" s="118"/>
      <c r="N1589" s="119"/>
    </row>
    <row r="1590" spans="7:14">
      <c r="G1590" s="116"/>
      <c r="H1590" s="117"/>
      <c r="I1590" s="118"/>
      <c r="J1590" s="119"/>
      <c r="K1590" s="116"/>
      <c r="L1590" s="117"/>
      <c r="M1590" s="118"/>
      <c r="N1590" s="119"/>
    </row>
    <row r="1591" spans="7:14">
      <c r="G1591" s="116"/>
      <c r="H1591" s="117"/>
      <c r="I1591" s="118"/>
      <c r="J1591" s="119"/>
      <c r="K1591" s="116"/>
      <c r="L1591" s="117"/>
      <c r="M1591" s="118"/>
      <c r="N1591" s="119"/>
    </row>
    <row r="1592" spans="7:14">
      <c r="G1592" s="116"/>
      <c r="H1592" s="117"/>
      <c r="I1592" s="118"/>
      <c r="J1592" s="119"/>
      <c r="K1592" s="116"/>
      <c r="L1592" s="117"/>
      <c r="M1592" s="118"/>
      <c r="N1592" s="119"/>
    </row>
    <row r="1593" spans="7:14">
      <c r="G1593" s="116"/>
      <c r="H1593" s="117"/>
      <c r="I1593" s="118"/>
      <c r="J1593" s="119"/>
      <c r="K1593" s="116"/>
      <c r="L1593" s="117"/>
      <c r="M1593" s="118"/>
      <c r="N1593" s="119"/>
    </row>
    <row r="1594" spans="7:14">
      <c r="G1594" s="116"/>
      <c r="H1594" s="117"/>
      <c r="I1594" s="118"/>
      <c r="J1594" s="119"/>
      <c r="K1594" s="116"/>
      <c r="L1594" s="117"/>
      <c r="M1594" s="118"/>
      <c r="N1594" s="119"/>
    </row>
    <row r="1595" spans="7:14">
      <c r="G1595" s="116"/>
      <c r="H1595" s="117"/>
      <c r="I1595" s="118"/>
      <c r="J1595" s="119"/>
      <c r="K1595" s="116"/>
      <c r="L1595" s="117"/>
      <c r="M1595" s="118"/>
      <c r="N1595" s="119"/>
    </row>
    <row r="1596" spans="7:14">
      <c r="G1596" s="116"/>
      <c r="H1596" s="117"/>
      <c r="I1596" s="118"/>
      <c r="J1596" s="119"/>
      <c r="K1596" s="116"/>
      <c r="L1596" s="117"/>
      <c r="M1596" s="118"/>
      <c r="N1596" s="119"/>
    </row>
    <row r="1597" spans="7:14">
      <c r="G1597" s="116"/>
      <c r="H1597" s="117"/>
      <c r="I1597" s="118"/>
      <c r="J1597" s="119"/>
      <c r="K1597" s="116"/>
      <c r="L1597" s="117"/>
      <c r="M1597" s="118"/>
      <c r="N1597" s="119"/>
    </row>
    <row r="1598" spans="7:14">
      <c r="G1598" s="116"/>
      <c r="H1598" s="117"/>
      <c r="I1598" s="118"/>
      <c r="J1598" s="119"/>
      <c r="K1598" s="116"/>
      <c r="L1598" s="117"/>
      <c r="M1598" s="118"/>
      <c r="N1598" s="119"/>
    </row>
    <row r="1599" spans="7:14">
      <c r="G1599" s="116"/>
      <c r="H1599" s="117"/>
      <c r="I1599" s="118"/>
      <c r="J1599" s="119"/>
      <c r="K1599" s="116"/>
      <c r="L1599" s="117"/>
      <c r="M1599" s="118"/>
      <c r="N1599" s="119"/>
    </row>
    <row r="1600" spans="7:14">
      <c r="G1600" s="116"/>
      <c r="H1600" s="117"/>
      <c r="I1600" s="118"/>
      <c r="J1600" s="119"/>
      <c r="K1600" s="116"/>
      <c r="L1600" s="117"/>
      <c r="M1600" s="118"/>
      <c r="N1600" s="119"/>
    </row>
    <row r="1601" spans="7:14">
      <c r="G1601" s="116"/>
      <c r="H1601" s="117"/>
      <c r="I1601" s="118"/>
      <c r="J1601" s="119"/>
      <c r="K1601" s="116"/>
      <c r="L1601" s="117"/>
      <c r="M1601" s="118"/>
      <c r="N1601" s="119"/>
    </row>
    <row r="1602" spans="7:14">
      <c r="G1602" s="116"/>
      <c r="H1602" s="117"/>
      <c r="I1602" s="118"/>
      <c r="J1602" s="119"/>
      <c r="K1602" s="116"/>
      <c r="L1602" s="117"/>
      <c r="M1602" s="118"/>
      <c r="N1602" s="119"/>
    </row>
    <row r="1603" spans="7:14">
      <c r="G1603" s="116"/>
      <c r="H1603" s="117"/>
      <c r="I1603" s="118"/>
      <c r="J1603" s="119"/>
      <c r="K1603" s="116"/>
      <c r="L1603" s="117"/>
      <c r="M1603" s="118"/>
      <c r="N1603" s="119"/>
    </row>
    <row r="1604" spans="7:14">
      <c r="G1604" s="116"/>
      <c r="H1604" s="117"/>
      <c r="I1604" s="118"/>
      <c r="J1604" s="119"/>
      <c r="K1604" s="116"/>
      <c r="L1604" s="117"/>
      <c r="M1604" s="118"/>
      <c r="N1604" s="119"/>
    </row>
    <row r="1605" spans="7:14">
      <c r="G1605" s="116"/>
      <c r="H1605" s="117"/>
      <c r="I1605" s="118"/>
      <c r="J1605" s="119"/>
      <c r="K1605" s="116"/>
      <c r="L1605" s="117"/>
      <c r="M1605" s="118"/>
      <c r="N1605" s="119"/>
    </row>
    <row r="1606" spans="7:14">
      <c r="G1606" s="116"/>
      <c r="H1606" s="117"/>
      <c r="I1606" s="118"/>
      <c r="J1606" s="119"/>
      <c r="K1606" s="116"/>
      <c r="L1606" s="117"/>
      <c r="M1606" s="118"/>
      <c r="N1606" s="119"/>
    </row>
    <row r="1607" spans="7:14">
      <c r="G1607" s="116"/>
      <c r="H1607" s="117"/>
      <c r="I1607" s="118"/>
      <c r="J1607" s="119"/>
      <c r="K1607" s="116"/>
      <c r="L1607" s="117"/>
      <c r="M1607" s="118"/>
      <c r="N1607" s="119"/>
    </row>
    <row r="1608" spans="7:14">
      <c r="G1608" s="116"/>
      <c r="H1608" s="117"/>
      <c r="I1608" s="118"/>
      <c r="J1608" s="119"/>
      <c r="K1608" s="116"/>
      <c r="L1608" s="117"/>
      <c r="M1608" s="118"/>
      <c r="N1608" s="119"/>
    </row>
    <row r="1609" spans="7:14">
      <c r="G1609" s="116"/>
      <c r="H1609" s="117"/>
      <c r="I1609" s="118"/>
      <c r="J1609" s="119"/>
      <c r="K1609" s="116"/>
      <c r="L1609" s="117"/>
      <c r="M1609" s="118"/>
      <c r="N1609" s="119"/>
    </row>
    <row r="1610" spans="7:14">
      <c r="G1610" s="116"/>
      <c r="H1610" s="117"/>
      <c r="I1610" s="118"/>
      <c r="J1610" s="119"/>
      <c r="K1610" s="116"/>
      <c r="L1610" s="117"/>
      <c r="M1610" s="118"/>
      <c r="N1610" s="119"/>
    </row>
    <row r="1611" spans="7:14">
      <c r="G1611" s="116"/>
      <c r="H1611" s="117"/>
      <c r="I1611" s="118"/>
      <c r="J1611" s="119"/>
      <c r="K1611" s="116"/>
      <c r="L1611" s="117"/>
      <c r="M1611" s="118"/>
      <c r="N1611" s="119"/>
    </row>
    <row r="1612" spans="7:14">
      <c r="G1612" s="116"/>
      <c r="H1612" s="117"/>
      <c r="I1612" s="118"/>
      <c r="J1612" s="119"/>
      <c r="K1612" s="116"/>
      <c r="L1612" s="117"/>
      <c r="M1612" s="118"/>
      <c r="N1612" s="119"/>
    </row>
    <row r="1613" spans="7:14">
      <c r="G1613" s="116"/>
      <c r="H1613" s="117"/>
      <c r="I1613" s="118"/>
      <c r="J1613" s="119"/>
      <c r="K1613" s="116"/>
      <c r="L1613" s="117"/>
      <c r="M1613" s="118"/>
      <c r="N1613" s="119"/>
    </row>
    <row r="1614" spans="7:14">
      <c r="G1614" s="116"/>
      <c r="H1614" s="117"/>
      <c r="I1614" s="118"/>
      <c r="J1614" s="119"/>
      <c r="K1614" s="116"/>
      <c r="L1614" s="117"/>
      <c r="M1614" s="118"/>
      <c r="N1614" s="119"/>
    </row>
    <row r="1615" spans="7:14">
      <c r="G1615" s="116"/>
      <c r="H1615" s="117"/>
      <c r="I1615" s="118"/>
      <c r="J1615" s="119"/>
      <c r="K1615" s="116"/>
      <c r="L1615" s="117"/>
      <c r="M1615" s="118"/>
      <c r="N1615" s="119"/>
    </row>
    <row r="1616" spans="7:14">
      <c r="G1616" s="116"/>
      <c r="H1616" s="117"/>
      <c r="I1616" s="118"/>
      <c r="J1616" s="119"/>
      <c r="K1616" s="116"/>
      <c r="L1616" s="117"/>
      <c r="M1616" s="118"/>
      <c r="N1616" s="119"/>
    </row>
    <row r="1617" spans="7:14">
      <c r="G1617" s="116"/>
      <c r="H1617" s="117"/>
      <c r="I1617" s="118"/>
      <c r="J1617" s="119"/>
      <c r="K1617" s="116"/>
      <c r="L1617" s="117"/>
      <c r="M1617" s="118"/>
      <c r="N1617" s="119"/>
    </row>
    <row r="1618" spans="7:14">
      <c r="G1618" s="116"/>
      <c r="H1618" s="117"/>
      <c r="I1618" s="118"/>
      <c r="J1618" s="119"/>
      <c r="K1618" s="116"/>
      <c r="L1618" s="117"/>
      <c r="M1618" s="118"/>
      <c r="N1618" s="119"/>
    </row>
    <row r="1619" spans="7:14">
      <c r="G1619" s="116"/>
      <c r="H1619" s="117"/>
      <c r="I1619" s="118"/>
      <c r="J1619" s="119"/>
      <c r="K1619" s="116"/>
      <c r="L1619" s="117"/>
      <c r="M1619" s="118"/>
      <c r="N1619" s="119"/>
    </row>
    <row r="1620" spans="7:14">
      <c r="G1620" s="116"/>
      <c r="H1620" s="117"/>
      <c r="I1620" s="118"/>
      <c r="J1620" s="119"/>
      <c r="K1620" s="116"/>
      <c r="L1620" s="117"/>
      <c r="M1620" s="118"/>
      <c r="N1620" s="119"/>
    </row>
    <row r="1621" spans="7:14">
      <c r="G1621" s="116"/>
      <c r="H1621" s="117"/>
      <c r="I1621" s="118"/>
      <c r="J1621" s="119"/>
      <c r="K1621" s="116"/>
      <c r="L1621" s="117"/>
      <c r="M1621" s="118"/>
      <c r="N1621" s="119"/>
    </row>
    <row r="1622" spans="7:14">
      <c r="G1622" s="116"/>
      <c r="H1622" s="117"/>
      <c r="I1622" s="118"/>
      <c r="J1622" s="119"/>
      <c r="K1622" s="116"/>
      <c r="L1622" s="117"/>
      <c r="M1622" s="118"/>
      <c r="N1622" s="119"/>
    </row>
    <row r="1623" spans="7:14">
      <c r="G1623" s="116"/>
      <c r="H1623" s="117"/>
      <c r="I1623" s="118"/>
      <c r="J1623" s="119"/>
      <c r="K1623" s="116"/>
      <c r="L1623" s="117"/>
      <c r="M1623" s="118"/>
      <c r="N1623" s="119"/>
    </row>
    <row r="1624" spans="7:14">
      <c r="G1624" s="116"/>
      <c r="H1624" s="117"/>
      <c r="I1624" s="118"/>
      <c r="J1624" s="119"/>
      <c r="K1624" s="116"/>
      <c r="L1624" s="117"/>
      <c r="M1624" s="118"/>
      <c r="N1624" s="119"/>
    </row>
    <row r="1625" spans="7:14">
      <c r="G1625" s="116"/>
      <c r="H1625" s="117"/>
      <c r="I1625" s="118"/>
      <c r="J1625" s="119"/>
      <c r="K1625" s="116"/>
      <c r="L1625" s="117"/>
      <c r="M1625" s="118"/>
      <c r="N1625" s="119"/>
    </row>
    <row r="1626" spans="7:14">
      <c r="G1626" s="116"/>
      <c r="H1626" s="117"/>
      <c r="I1626" s="118"/>
      <c r="J1626" s="119"/>
      <c r="K1626" s="116"/>
      <c r="L1626" s="117"/>
      <c r="M1626" s="118"/>
      <c r="N1626" s="119"/>
    </row>
    <row r="1627" spans="7:14">
      <c r="G1627" s="116"/>
      <c r="H1627" s="117"/>
      <c r="I1627" s="118"/>
      <c r="J1627" s="119"/>
      <c r="K1627" s="116"/>
      <c r="L1627" s="117"/>
      <c r="M1627" s="118"/>
      <c r="N1627" s="119"/>
    </row>
    <row r="1628" spans="7:14">
      <c r="G1628" s="116"/>
      <c r="H1628" s="117"/>
      <c r="I1628" s="118"/>
      <c r="J1628" s="119"/>
      <c r="K1628" s="116"/>
      <c r="L1628" s="117"/>
      <c r="M1628" s="118"/>
      <c r="N1628" s="119"/>
    </row>
    <row r="1629" spans="7:14">
      <c r="G1629" s="116"/>
      <c r="H1629" s="117"/>
      <c r="I1629" s="118"/>
      <c r="J1629" s="119"/>
      <c r="K1629" s="116"/>
      <c r="L1629" s="117"/>
      <c r="M1629" s="118"/>
      <c r="N1629" s="119"/>
    </row>
    <row r="1630" spans="7:14">
      <c r="G1630" s="116"/>
      <c r="H1630" s="117"/>
      <c r="I1630" s="118"/>
      <c r="J1630" s="119"/>
      <c r="K1630" s="116"/>
      <c r="L1630" s="117"/>
      <c r="M1630" s="118"/>
      <c r="N1630" s="119"/>
    </row>
    <row r="1631" spans="7:14">
      <c r="G1631" s="116"/>
      <c r="H1631" s="117"/>
      <c r="I1631" s="118"/>
      <c r="J1631" s="119"/>
      <c r="K1631" s="116"/>
      <c r="L1631" s="117"/>
      <c r="M1631" s="118"/>
      <c r="N1631" s="119"/>
    </row>
    <row r="1632" spans="7:14">
      <c r="G1632" s="116"/>
      <c r="H1632" s="117"/>
      <c r="I1632" s="118"/>
      <c r="J1632" s="119"/>
      <c r="K1632" s="116"/>
      <c r="L1632" s="117"/>
      <c r="M1632" s="118"/>
      <c r="N1632" s="119"/>
    </row>
    <row r="1633" spans="7:14">
      <c r="G1633" s="116"/>
      <c r="H1633" s="117"/>
      <c r="I1633" s="118"/>
      <c r="J1633" s="119"/>
      <c r="K1633" s="116"/>
      <c r="L1633" s="117"/>
      <c r="M1633" s="118"/>
      <c r="N1633" s="119"/>
    </row>
    <row r="1634" spans="7:14">
      <c r="G1634" s="116"/>
      <c r="H1634" s="117"/>
      <c r="I1634" s="118"/>
      <c r="J1634" s="119"/>
      <c r="K1634" s="116"/>
      <c r="L1634" s="117"/>
      <c r="M1634" s="118"/>
      <c r="N1634" s="119"/>
    </row>
    <row r="1635" spans="7:14">
      <c r="G1635" s="116"/>
      <c r="H1635" s="117"/>
      <c r="I1635" s="118"/>
      <c r="J1635" s="119"/>
      <c r="K1635" s="116"/>
      <c r="L1635" s="117"/>
      <c r="M1635" s="118"/>
      <c r="N1635" s="119"/>
    </row>
    <row r="1636" spans="7:14">
      <c r="G1636" s="116"/>
      <c r="H1636" s="117"/>
      <c r="I1636" s="118"/>
      <c r="J1636" s="119"/>
      <c r="K1636" s="116"/>
      <c r="L1636" s="117"/>
      <c r="M1636" s="118"/>
      <c r="N1636" s="119"/>
    </row>
    <row r="1637" spans="7:14">
      <c r="G1637" s="116"/>
      <c r="H1637" s="117"/>
      <c r="I1637" s="118"/>
      <c r="J1637" s="119"/>
      <c r="K1637" s="116"/>
      <c r="L1637" s="117"/>
      <c r="M1637" s="118"/>
      <c r="N1637" s="119"/>
    </row>
    <row r="1638" spans="7:14">
      <c r="G1638" s="116"/>
      <c r="H1638" s="117"/>
      <c r="I1638" s="118"/>
      <c r="J1638" s="119"/>
      <c r="K1638" s="116"/>
      <c r="L1638" s="117"/>
      <c r="M1638" s="118"/>
      <c r="N1638" s="119"/>
    </row>
    <row r="1639" spans="7:14">
      <c r="G1639" s="116"/>
      <c r="H1639" s="117"/>
      <c r="I1639" s="118"/>
      <c r="J1639" s="119"/>
      <c r="K1639" s="116"/>
      <c r="L1639" s="117"/>
      <c r="M1639" s="118"/>
      <c r="N1639" s="119"/>
    </row>
    <row r="1640" spans="7:14">
      <c r="G1640" s="116"/>
      <c r="H1640" s="117"/>
      <c r="I1640" s="118"/>
      <c r="J1640" s="119"/>
      <c r="K1640" s="116"/>
      <c r="L1640" s="117"/>
      <c r="M1640" s="118"/>
      <c r="N1640" s="119"/>
    </row>
    <row r="1641" spans="7:14">
      <c r="G1641" s="116"/>
      <c r="H1641" s="117"/>
      <c r="I1641" s="118"/>
      <c r="J1641" s="119"/>
      <c r="K1641" s="116"/>
      <c r="L1641" s="117"/>
      <c r="M1641" s="118"/>
      <c r="N1641" s="119"/>
    </row>
    <row r="1642" spans="7:14">
      <c r="G1642" s="116"/>
      <c r="H1642" s="117"/>
      <c r="I1642" s="118"/>
      <c r="J1642" s="119"/>
      <c r="K1642" s="116"/>
      <c r="L1642" s="117"/>
      <c r="M1642" s="118"/>
      <c r="N1642" s="119"/>
    </row>
    <row r="1643" spans="7:14">
      <c r="G1643" s="116"/>
      <c r="H1643" s="117"/>
      <c r="I1643" s="118"/>
      <c r="J1643" s="119"/>
      <c r="K1643" s="116"/>
      <c r="L1643" s="117"/>
      <c r="M1643" s="118"/>
      <c r="N1643" s="119"/>
    </row>
    <row r="1644" spans="7:14">
      <c r="G1644" s="116"/>
      <c r="H1644" s="117"/>
      <c r="I1644" s="118"/>
      <c r="J1644" s="119"/>
      <c r="K1644" s="116"/>
      <c r="L1644" s="117"/>
      <c r="M1644" s="118"/>
      <c r="N1644" s="119"/>
    </row>
    <row r="1645" spans="7:14">
      <c r="G1645" s="116"/>
      <c r="H1645" s="117"/>
      <c r="I1645" s="118"/>
      <c r="J1645" s="119"/>
      <c r="K1645" s="116"/>
      <c r="L1645" s="117"/>
      <c r="M1645" s="118"/>
      <c r="N1645" s="119"/>
    </row>
    <row r="1646" spans="7:14">
      <c r="G1646" s="116"/>
      <c r="H1646" s="117"/>
      <c r="I1646" s="118"/>
      <c r="J1646" s="119"/>
      <c r="K1646" s="116"/>
      <c r="L1646" s="117"/>
      <c r="M1646" s="118"/>
      <c r="N1646" s="119"/>
    </row>
    <row r="1647" spans="7:14">
      <c r="G1647" s="116"/>
      <c r="H1647" s="117"/>
      <c r="I1647" s="118"/>
      <c r="J1647" s="119"/>
      <c r="K1647" s="116"/>
      <c r="L1647" s="117"/>
      <c r="M1647" s="118"/>
      <c r="N1647" s="119"/>
    </row>
    <row r="1648" spans="7:14">
      <c r="G1648" s="116"/>
      <c r="H1648" s="117"/>
      <c r="I1648" s="118"/>
      <c r="J1648" s="119"/>
      <c r="K1648" s="116"/>
      <c r="L1648" s="117"/>
      <c r="M1648" s="118"/>
      <c r="N1648" s="119"/>
    </row>
    <row r="1649" spans="7:14">
      <c r="G1649" s="116"/>
      <c r="H1649" s="117"/>
      <c r="I1649" s="118"/>
      <c r="J1649" s="119"/>
      <c r="K1649" s="116"/>
      <c r="L1649" s="117"/>
      <c r="M1649" s="118"/>
      <c r="N1649" s="119"/>
    </row>
    <row r="1650" spans="7:14">
      <c r="G1650" s="116"/>
      <c r="H1650" s="117"/>
      <c r="I1650" s="118"/>
      <c r="J1650" s="119"/>
      <c r="K1650" s="116"/>
      <c r="L1650" s="117"/>
      <c r="M1650" s="118"/>
      <c r="N1650" s="119"/>
    </row>
    <row r="1651" spans="7:14">
      <c r="G1651" s="116"/>
      <c r="H1651" s="117"/>
      <c r="I1651" s="118"/>
      <c r="J1651" s="119"/>
      <c r="K1651" s="116"/>
      <c r="L1651" s="117"/>
      <c r="M1651" s="118"/>
      <c r="N1651" s="119"/>
    </row>
    <row r="1652" spans="7:14">
      <c r="G1652" s="116"/>
      <c r="H1652" s="117"/>
      <c r="I1652" s="118"/>
      <c r="J1652" s="119"/>
      <c r="K1652" s="116"/>
      <c r="L1652" s="117"/>
      <c r="M1652" s="118"/>
      <c r="N1652" s="119"/>
    </row>
    <row r="1653" spans="7:14">
      <c r="G1653" s="116"/>
      <c r="H1653" s="117"/>
      <c r="I1653" s="118"/>
      <c r="J1653" s="119"/>
      <c r="K1653" s="116"/>
      <c r="L1653" s="117"/>
      <c r="M1653" s="118"/>
      <c r="N1653" s="119"/>
    </row>
    <row r="1654" spans="7:14">
      <c r="G1654" s="116"/>
      <c r="H1654" s="117"/>
      <c r="I1654" s="118"/>
      <c r="J1654" s="119"/>
      <c r="K1654" s="116"/>
      <c r="L1654" s="117"/>
      <c r="M1654" s="118"/>
      <c r="N1654" s="119"/>
    </row>
    <row r="1655" spans="7:14">
      <c r="G1655" s="116"/>
      <c r="H1655" s="117"/>
      <c r="I1655" s="118"/>
      <c r="J1655" s="119"/>
      <c r="K1655" s="116"/>
      <c r="L1655" s="117"/>
      <c r="M1655" s="118"/>
      <c r="N1655" s="119"/>
    </row>
    <row r="1656" spans="7:14">
      <c r="G1656" s="116"/>
      <c r="H1656" s="117"/>
      <c r="I1656" s="118"/>
      <c r="J1656" s="119"/>
      <c r="K1656" s="116"/>
      <c r="L1656" s="117"/>
      <c r="M1656" s="118"/>
      <c r="N1656" s="119"/>
    </row>
    <row r="1657" spans="7:14">
      <c r="G1657" s="116"/>
      <c r="H1657" s="117"/>
      <c r="I1657" s="118"/>
      <c r="J1657" s="119"/>
      <c r="K1657" s="116"/>
      <c r="L1657" s="117"/>
      <c r="M1657" s="118"/>
      <c r="N1657" s="119"/>
    </row>
    <row r="1658" spans="7:14">
      <c r="G1658" s="116"/>
      <c r="H1658" s="117"/>
      <c r="I1658" s="118"/>
      <c r="J1658" s="119"/>
      <c r="K1658" s="116"/>
      <c r="L1658" s="117"/>
      <c r="M1658" s="118"/>
      <c r="N1658" s="119"/>
    </row>
    <row r="1659" spans="7:14">
      <c r="G1659" s="116"/>
      <c r="H1659" s="117"/>
      <c r="I1659" s="118"/>
      <c r="J1659" s="119"/>
      <c r="K1659" s="116"/>
      <c r="L1659" s="117"/>
      <c r="M1659" s="118"/>
      <c r="N1659" s="119"/>
    </row>
    <row r="1660" spans="7:14">
      <c r="G1660" s="116"/>
      <c r="H1660" s="117"/>
      <c r="I1660" s="118"/>
      <c r="J1660" s="119"/>
      <c r="K1660" s="116"/>
      <c r="L1660" s="117"/>
      <c r="M1660" s="118"/>
      <c r="N1660" s="119"/>
    </row>
    <row r="1661" spans="7:14">
      <c r="G1661" s="116"/>
      <c r="H1661" s="117"/>
      <c r="I1661" s="118"/>
      <c r="J1661" s="119"/>
      <c r="K1661" s="116"/>
      <c r="L1661" s="117"/>
      <c r="M1661" s="118"/>
      <c r="N1661" s="119"/>
    </row>
    <row r="1662" spans="7:14">
      <c r="G1662" s="116"/>
      <c r="H1662" s="117"/>
      <c r="I1662" s="118"/>
      <c r="J1662" s="119"/>
      <c r="K1662" s="116"/>
      <c r="L1662" s="117"/>
      <c r="M1662" s="118"/>
      <c r="N1662" s="119"/>
    </row>
    <row r="1663" spans="7:14">
      <c r="G1663" s="116"/>
      <c r="H1663" s="117"/>
      <c r="I1663" s="118"/>
      <c r="J1663" s="119"/>
      <c r="K1663" s="116"/>
      <c r="L1663" s="117"/>
      <c r="M1663" s="118"/>
      <c r="N1663" s="119"/>
    </row>
    <row r="1664" spans="7:14">
      <c r="G1664" s="116"/>
      <c r="H1664" s="117"/>
      <c r="I1664" s="118"/>
      <c r="J1664" s="119"/>
      <c r="K1664" s="116"/>
      <c r="L1664" s="117"/>
      <c r="M1664" s="118"/>
      <c r="N1664" s="119"/>
    </row>
    <row r="1665" spans="7:14">
      <c r="G1665" s="116"/>
      <c r="H1665" s="117"/>
      <c r="I1665" s="118"/>
      <c r="J1665" s="119"/>
      <c r="K1665" s="116"/>
      <c r="L1665" s="117"/>
      <c r="M1665" s="118"/>
      <c r="N1665" s="119"/>
    </row>
    <row r="1666" spans="7:14">
      <c r="G1666" s="116"/>
      <c r="H1666" s="117"/>
      <c r="I1666" s="118"/>
      <c r="J1666" s="119"/>
      <c r="K1666" s="116"/>
      <c r="L1666" s="117"/>
      <c r="M1666" s="118"/>
      <c r="N1666" s="119"/>
    </row>
    <row r="1667" spans="7:14">
      <c r="G1667" s="116"/>
      <c r="H1667" s="117"/>
      <c r="I1667" s="118"/>
      <c r="J1667" s="119"/>
      <c r="K1667" s="116"/>
      <c r="L1667" s="117"/>
      <c r="M1667" s="118"/>
      <c r="N1667" s="119"/>
    </row>
    <row r="1668" spans="7:14">
      <c r="G1668" s="116"/>
      <c r="H1668" s="117"/>
      <c r="I1668" s="118"/>
      <c r="J1668" s="119"/>
      <c r="K1668" s="116"/>
      <c r="L1668" s="117"/>
      <c r="M1668" s="118"/>
      <c r="N1668" s="119"/>
    </row>
    <row r="1669" spans="7:14">
      <c r="G1669" s="116"/>
      <c r="H1669" s="117"/>
      <c r="I1669" s="118"/>
      <c r="J1669" s="119"/>
      <c r="K1669" s="116"/>
      <c r="L1669" s="117"/>
      <c r="M1669" s="118"/>
      <c r="N1669" s="119"/>
    </row>
    <row r="1670" spans="7:14">
      <c r="G1670" s="116"/>
      <c r="H1670" s="117"/>
      <c r="I1670" s="118"/>
      <c r="J1670" s="119"/>
      <c r="K1670" s="116"/>
      <c r="L1670" s="117"/>
      <c r="M1670" s="118"/>
      <c r="N1670" s="119"/>
    </row>
    <row r="1671" spans="7:14">
      <c r="G1671" s="116"/>
      <c r="H1671" s="117"/>
      <c r="I1671" s="118"/>
      <c r="J1671" s="119"/>
      <c r="K1671" s="116"/>
      <c r="L1671" s="117"/>
      <c r="M1671" s="118"/>
      <c r="N1671" s="119"/>
    </row>
    <row r="1672" spans="7:14">
      <c r="G1672" s="116"/>
      <c r="H1672" s="117"/>
      <c r="I1672" s="118"/>
      <c r="J1672" s="119"/>
      <c r="K1672" s="116"/>
      <c r="L1672" s="117"/>
      <c r="M1672" s="118"/>
      <c r="N1672" s="119"/>
    </row>
    <row r="1673" spans="7:14">
      <c r="G1673" s="116"/>
      <c r="H1673" s="117"/>
      <c r="I1673" s="118"/>
      <c r="J1673" s="119"/>
      <c r="K1673" s="116"/>
      <c r="L1673" s="117"/>
      <c r="M1673" s="118"/>
      <c r="N1673" s="119"/>
    </row>
    <row r="1674" spans="7:14">
      <c r="G1674" s="116"/>
      <c r="H1674" s="117"/>
      <c r="I1674" s="118"/>
      <c r="J1674" s="119"/>
      <c r="K1674" s="116"/>
      <c r="L1674" s="117"/>
      <c r="M1674" s="118"/>
      <c r="N1674" s="119"/>
    </row>
    <row r="1675" spans="7:14">
      <c r="G1675" s="116"/>
      <c r="H1675" s="117"/>
      <c r="I1675" s="118"/>
      <c r="J1675" s="119"/>
      <c r="K1675" s="116"/>
      <c r="L1675" s="117"/>
      <c r="M1675" s="118"/>
      <c r="N1675" s="119"/>
    </row>
    <row r="1676" spans="7:14">
      <c r="G1676" s="116"/>
      <c r="H1676" s="117"/>
      <c r="I1676" s="118"/>
      <c r="J1676" s="119"/>
      <c r="K1676" s="116"/>
      <c r="L1676" s="117"/>
      <c r="M1676" s="118"/>
      <c r="N1676" s="119"/>
    </row>
    <row r="1677" spans="7:14">
      <c r="G1677" s="116"/>
      <c r="H1677" s="117"/>
      <c r="I1677" s="118"/>
      <c r="J1677" s="119"/>
      <c r="K1677" s="116"/>
      <c r="L1677" s="117"/>
      <c r="M1677" s="118"/>
      <c r="N1677" s="119"/>
    </row>
    <row r="1678" spans="7:14">
      <c r="G1678" s="116"/>
      <c r="H1678" s="117"/>
      <c r="I1678" s="118"/>
      <c r="J1678" s="119"/>
      <c r="K1678" s="116"/>
      <c r="L1678" s="117"/>
      <c r="M1678" s="118"/>
      <c r="N1678" s="119"/>
    </row>
    <row r="1679" spans="7:14">
      <c r="G1679" s="116"/>
      <c r="H1679" s="117"/>
      <c r="I1679" s="118"/>
      <c r="J1679" s="119"/>
      <c r="K1679" s="116"/>
      <c r="L1679" s="117"/>
      <c r="M1679" s="118"/>
      <c r="N1679" s="119"/>
    </row>
    <row r="1680" spans="7:14">
      <c r="G1680" s="116"/>
      <c r="H1680" s="117"/>
      <c r="I1680" s="118"/>
      <c r="J1680" s="119"/>
      <c r="K1680" s="116"/>
      <c r="L1680" s="117"/>
      <c r="M1680" s="118"/>
      <c r="N1680" s="119"/>
    </row>
    <row r="1681" spans="7:14">
      <c r="G1681" s="116"/>
      <c r="H1681" s="117"/>
      <c r="I1681" s="118"/>
      <c r="J1681" s="119"/>
      <c r="K1681" s="116"/>
      <c r="L1681" s="117"/>
      <c r="M1681" s="118"/>
      <c r="N1681" s="119"/>
    </row>
    <row r="1682" spans="7:14">
      <c r="G1682" s="116"/>
      <c r="H1682" s="117"/>
      <c r="I1682" s="118"/>
      <c r="J1682" s="119"/>
      <c r="K1682" s="116"/>
      <c r="L1682" s="117"/>
      <c r="M1682" s="118"/>
      <c r="N1682" s="119"/>
    </row>
    <row r="1683" spans="7:14">
      <c r="G1683" s="116"/>
      <c r="H1683" s="117"/>
      <c r="I1683" s="118"/>
      <c r="J1683" s="119"/>
      <c r="K1683" s="116"/>
      <c r="L1683" s="117"/>
      <c r="M1683" s="118"/>
      <c r="N1683" s="119"/>
    </row>
    <row r="1684" spans="7:14">
      <c r="G1684" s="116"/>
      <c r="H1684" s="117"/>
      <c r="I1684" s="118"/>
      <c r="J1684" s="119"/>
      <c r="K1684" s="116"/>
      <c r="L1684" s="117"/>
      <c r="M1684" s="118"/>
      <c r="N1684" s="119"/>
    </row>
    <row r="1685" spans="7:14">
      <c r="G1685" s="116"/>
      <c r="H1685" s="117"/>
      <c r="I1685" s="118"/>
      <c r="J1685" s="119"/>
      <c r="K1685" s="116"/>
      <c r="L1685" s="117"/>
      <c r="M1685" s="118"/>
      <c r="N1685" s="119"/>
    </row>
    <row r="1686" spans="7:14">
      <c r="G1686" s="116"/>
      <c r="H1686" s="117"/>
      <c r="I1686" s="118"/>
      <c r="J1686" s="119"/>
      <c r="K1686" s="116"/>
      <c r="L1686" s="117"/>
      <c r="M1686" s="118"/>
      <c r="N1686" s="119"/>
    </row>
    <row r="1687" spans="7:14">
      <c r="G1687" s="116"/>
      <c r="H1687" s="117"/>
      <c r="I1687" s="118"/>
      <c r="J1687" s="119"/>
      <c r="K1687" s="116"/>
      <c r="L1687" s="117"/>
      <c r="M1687" s="118"/>
      <c r="N1687" s="119"/>
    </row>
    <row r="1688" spans="7:14">
      <c r="G1688" s="116"/>
      <c r="H1688" s="117"/>
      <c r="I1688" s="118"/>
      <c r="J1688" s="119"/>
      <c r="K1688" s="116"/>
      <c r="L1688" s="117"/>
      <c r="M1688" s="118"/>
      <c r="N1688" s="119"/>
    </row>
    <row r="1689" spans="7:14">
      <c r="G1689" s="116"/>
      <c r="H1689" s="117"/>
      <c r="I1689" s="118"/>
      <c r="J1689" s="119"/>
      <c r="K1689" s="116"/>
      <c r="L1689" s="117"/>
      <c r="M1689" s="118"/>
      <c r="N1689" s="119"/>
    </row>
    <row r="1690" spans="7:14">
      <c r="G1690" s="116"/>
      <c r="H1690" s="117"/>
      <c r="I1690" s="118"/>
      <c r="J1690" s="119"/>
      <c r="K1690" s="116"/>
      <c r="L1690" s="117"/>
      <c r="M1690" s="118"/>
      <c r="N1690" s="119"/>
    </row>
    <row r="1691" spans="7:14">
      <c r="G1691" s="116"/>
      <c r="H1691" s="117"/>
      <c r="I1691" s="118"/>
      <c r="J1691" s="119"/>
      <c r="K1691" s="116"/>
      <c r="L1691" s="117"/>
      <c r="M1691" s="118"/>
      <c r="N1691" s="119"/>
    </row>
    <row r="1692" spans="7:14">
      <c r="G1692" s="116"/>
      <c r="H1692" s="117"/>
      <c r="I1692" s="118"/>
      <c r="J1692" s="119"/>
      <c r="K1692" s="116"/>
      <c r="L1692" s="117"/>
      <c r="M1692" s="118"/>
      <c r="N1692" s="119"/>
    </row>
    <row r="1693" spans="7:14">
      <c r="G1693" s="116"/>
      <c r="H1693" s="117"/>
      <c r="I1693" s="118"/>
      <c r="J1693" s="119"/>
      <c r="K1693" s="116"/>
      <c r="L1693" s="117"/>
      <c r="M1693" s="118"/>
      <c r="N1693" s="119"/>
    </row>
    <row r="1694" spans="7:14">
      <c r="G1694" s="116"/>
      <c r="H1694" s="117"/>
      <c r="I1694" s="118"/>
      <c r="J1694" s="119"/>
      <c r="K1694" s="116"/>
      <c r="L1694" s="117"/>
      <c r="M1694" s="118"/>
      <c r="N1694" s="119"/>
    </row>
    <row r="1695" spans="7:14">
      <c r="G1695" s="116"/>
      <c r="H1695" s="117"/>
      <c r="I1695" s="118"/>
      <c r="J1695" s="119"/>
      <c r="K1695" s="116"/>
      <c r="L1695" s="117"/>
      <c r="M1695" s="118"/>
      <c r="N1695" s="119"/>
    </row>
    <row r="1696" spans="7:14">
      <c r="G1696" s="116"/>
      <c r="H1696" s="117"/>
      <c r="I1696" s="118"/>
      <c r="J1696" s="119"/>
      <c r="K1696" s="116"/>
      <c r="L1696" s="117"/>
      <c r="M1696" s="118"/>
      <c r="N1696" s="119"/>
    </row>
    <row r="1697" spans="7:14">
      <c r="G1697" s="116"/>
      <c r="H1697" s="117"/>
      <c r="I1697" s="118"/>
      <c r="J1697" s="119"/>
      <c r="K1697" s="116"/>
      <c r="L1697" s="117"/>
      <c r="M1697" s="118"/>
      <c r="N1697" s="119"/>
    </row>
    <row r="1698" spans="7:14">
      <c r="G1698" s="116"/>
      <c r="H1698" s="117"/>
      <c r="I1698" s="118"/>
      <c r="J1698" s="119"/>
      <c r="K1698" s="116"/>
      <c r="L1698" s="117"/>
      <c r="M1698" s="118"/>
      <c r="N1698" s="119"/>
    </row>
    <row r="1699" spans="7:14">
      <c r="G1699" s="116"/>
      <c r="H1699" s="117"/>
      <c r="I1699" s="118"/>
      <c r="J1699" s="119"/>
      <c r="K1699" s="116"/>
      <c r="L1699" s="117"/>
      <c r="M1699" s="118"/>
      <c r="N1699" s="119"/>
    </row>
    <row r="1700" spans="7:14">
      <c r="G1700" s="116"/>
      <c r="H1700" s="117"/>
      <c r="I1700" s="118"/>
      <c r="J1700" s="119"/>
      <c r="K1700" s="116"/>
      <c r="L1700" s="117"/>
      <c r="M1700" s="118"/>
      <c r="N1700" s="119"/>
    </row>
    <row r="1701" spans="7:14">
      <c r="G1701" s="116"/>
      <c r="H1701" s="117"/>
      <c r="I1701" s="118"/>
      <c r="J1701" s="119"/>
      <c r="K1701" s="116"/>
      <c r="L1701" s="117"/>
      <c r="M1701" s="118"/>
      <c r="N1701" s="119"/>
    </row>
    <row r="1702" spans="7:14">
      <c r="G1702" s="116"/>
      <c r="H1702" s="117"/>
      <c r="I1702" s="118"/>
      <c r="J1702" s="119"/>
      <c r="K1702" s="116"/>
      <c r="L1702" s="117"/>
      <c r="M1702" s="118"/>
      <c r="N1702" s="119"/>
    </row>
    <row r="1703" spans="7:14">
      <c r="G1703" s="116"/>
      <c r="H1703" s="117"/>
      <c r="I1703" s="118"/>
      <c r="J1703" s="119"/>
      <c r="K1703" s="116"/>
      <c r="L1703" s="117"/>
      <c r="M1703" s="118"/>
      <c r="N1703" s="119"/>
    </row>
    <row r="1704" spans="7:14">
      <c r="G1704" s="116"/>
      <c r="H1704" s="117"/>
      <c r="I1704" s="118"/>
      <c r="J1704" s="119"/>
      <c r="K1704" s="116"/>
      <c r="L1704" s="117"/>
      <c r="M1704" s="118"/>
      <c r="N1704" s="119"/>
    </row>
    <row r="1705" spans="7:14">
      <c r="G1705" s="116"/>
      <c r="H1705" s="117"/>
      <c r="I1705" s="118"/>
      <c r="J1705" s="119"/>
      <c r="K1705" s="116"/>
      <c r="L1705" s="117"/>
      <c r="M1705" s="118"/>
      <c r="N1705" s="119"/>
    </row>
    <row r="1706" spans="7:14">
      <c r="G1706" s="116"/>
      <c r="H1706" s="117"/>
      <c r="I1706" s="118"/>
      <c r="J1706" s="119"/>
      <c r="K1706" s="116"/>
      <c r="L1706" s="117"/>
      <c r="M1706" s="118"/>
      <c r="N1706" s="119"/>
    </row>
    <row r="1707" spans="7:14">
      <c r="G1707" s="116"/>
      <c r="H1707" s="117"/>
      <c r="I1707" s="118"/>
      <c r="J1707" s="119"/>
      <c r="K1707" s="116"/>
      <c r="L1707" s="117"/>
      <c r="M1707" s="118"/>
      <c r="N1707" s="119"/>
    </row>
    <row r="1708" spans="7:14">
      <c r="G1708" s="116"/>
      <c r="H1708" s="117"/>
      <c r="I1708" s="118"/>
      <c r="J1708" s="119"/>
      <c r="K1708" s="116"/>
      <c r="L1708" s="117"/>
      <c r="M1708" s="118"/>
      <c r="N1708" s="119"/>
    </row>
    <row r="1709" spans="7:14">
      <c r="G1709" s="116"/>
      <c r="H1709" s="117"/>
      <c r="I1709" s="118"/>
      <c r="J1709" s="119"/>
      <c r="K1709" s="116"/>
      <c r="L1709" s="117"/>
      <c r="M1709" s="118"/>
      <c r="N1709" s="119"/>
    </row>
    <row r="1710" spans="7:14">
      <c r="G1710" s="116"/>
      <c r="H1710" s="117"/>
      <c r="I1710" s="118"/>
      <c r="J1710" s="119"/>
      <c r="K1710" s="116"/>
      <c r="L1710" s="117"/>
      <c r="M1710" s="118"/>
      <c r="N1710" s="119"/>
    </row>
    <row r="1711" spans="7:14">
      <c r="G1711" s="116"/>
      <c r="H1711" s="117"/>
      <c r="I1711" s="118"/>
      <c r="J1711" s="119"/>
      <c r="K1711" s="116"/>
      <c r="L1711" s="117"/>
      <c r="M1711" s="118"/>
      <c r="N1711" s="119"/>
    </row>
    <row r="1712" spans="7:14">
      <c r="G1712" s="116"/>
      <c r="H1712" s="117"/>
      <c r="I1712" s="118"/>
      <c r="J1712" s="119"/>
      <c r="K1712" s="116"/>
      <c r="L1712" s="117"/>
      <c r="M1712" s="118"/>
      <c r="N1712" s="119"/>
    </row>
    <row r="1713" spans="7:14">
      <c r="G1713" s="116"/>
      <c r="H1713" s="117"/>
      <c r="I1713" s="118"/>
      <c r="J1713" s="119"/>
      <c r="K1713" s="116"/>
      <c r="L1713" s="117"/>
      <c r="M1713" s="118"/>
      <c r="N1713" s="119"/>
    </row>
    <row r="1714" spans="7:14">
      <c r="G1714" s="116"/>
      <c r="H1714" s="117"/>
      <c r="I1714" s="118"/>
      <c r="J1714" s="119"/>
      <c r="K1714" s="116"/>
      <c r="L1714" s="117"/>
      <c r="M1714" s="118"/>
      <c r="N1714" s="119"/>
    </row>
    <row r="1715" spans="7:14">
      <c r="G1715" s="116"/>
      <c r="H1715" s="117"/>
      <c r="I1715" s="118"/>
      <c r="J1715" s="119"/>
      <c r="K1715" s="116"/>
      <c r="L1715" s="117"/>
      <c r="M1715" s="118"/>
      <c r="N1715" s="119"/>
    </row>
    <row r="1716" spans="7:14">
      <c r="G1716" s="116"/>
      <c r="H1716" s="117"/>
      <c r="I1716" s="118"/>
      <c r="J1716" s="119"/>
      <c r="K1716" s="116"/>
      <c r="L1716" s="117"/>
      <c r="M1716" s="118"/>
      <c r="N1716" s="119"/>
    </row>
    <row r="1717" spans="7:14">
      <c r="G1717" s="116"/>
      <c r="H1717" s="117"/>
      <c r="I1717" s="118"/>
      <c r="J1717" s="119"/>
      <c r="K1717" s="116"/>
      <c r="L1717" s="117"/>
      <c r="M1717" s="118"/>
      <c r="N1717" s="119"/>
    </row>
  </sheetData>
  <mergeCells count="366">
    <mergeCell ref="E122:E125"/>
    <mergeCell ref="E132:E135"/>
    <mergeCell ref="E753:E756"/>
    <mergeCell ref="C1027:E1029"/>
    <mergeCell ref="C1034:E1036"/>
    <mergeCell ref="C1041:E1043"/>
    <mergeCell ref="C1045:F1045"/>
    <mergeCell ref="C1046:F1046"/>
    <mergeCell ref="C1047:F1047"/>
    <mergeCell ref="C158:F158"/>
    <mergeCell ref="C159:F159"/>
    <mergeCell ref="C183:F183"/>
    <mergeCell ref="C184:F184"/>
    <mergeCell ref="C185:F185"/>
    <mergeCell ref="C190:D191"/>
    <mergeCell ref="C192:D193"/>
    <mergeCell ref="C194:D195"/>
    <mergeCell ref="C169:C170"/>
    <mergeCell ref="C171:C172"/>
    <mergeCell ref="C173:C174"/>
    <mergeCell ref="C175:C176"/>
    <mergeCell ref="C177:C178"/>
    <mergeCell ref="C182:F182"/>
    <mergeCell ref="E313:F313"/>
    <mergeCell ref="C1048:F1048"/>
    <mergeCell ref="D490:F491"/>
    <mergeCell ref="C497:F497"/>
    <mergeCell ref="C498:F498"/>
    <mergeCell ref="C499:F499"/>
    <mergeCell ref="C500:F500"/>
    <mergeCell ref="C988:E990"/>
    <mergeCell ref="C992:F992"/>
    <mergeCell ref="C993:F993"/>
    <mergeCell ref="C994:F994"/>
    <mergeCell ref="C691:F691"/>
    <mergeCell ref="C699:F699"/>
    <mergeCell ref="C687:F687"/>
    <mergeCell ref="C675:F675"/>
    <mergeCell ref="C616:F616"/>
    <mergeCell ref="C617:F617"/>
    <mergeCell ref="C834:F834"/>
    <mergeCell ref="C836:F836"/>
    <mergeCell ref="C552:F552"/>
    <mergeCell ref="C553:F553"/>
    <mergeCell ref="D558:E561"/>
    <mergeCell ref="C904:F904"/>
    <mergeCell ref="C905:F905"/>
    <mergeCell ref="C995:F995"/>
    <mergeCell ref="B959:B963"/>
    <mergeCell ref="C604:F604"/>
    <mergeCell ref="C585:F585"/>
    <mergeCell ref="C566:F566"/>
    <mergeCell ref="D597:E599"/>
    <mergeCell ref="C597:C599"/>
    <mergeCell ref="C740:F740"/>
    <mergeCell ref="C741:F741"/>
    <mergeCell ref="C742:F742"/>
    <mergeCell ref="C731:F732"/>
    <mergeCell ref="C692:F692"/>
    <mergeCell ref="C701:F701"/>
    <mergeCell ref="C702:F702"/>
    <mergeCell ref="C703:F703"/>
    <mergeCell ref="C704:F704"/>
    <mergeCell ref="C722:C724"/>
    <mergeCell ref="C948:F948"/>
    <mergeCell ref="C713:C716"/>
    <mergeCell ref="C634:F634"/>
    <mergeCell ref="C635:F635"/>
    <mergeCell ref="C636:F636"/>
    <mergeCell ref="C637:F637"/>
    <mergeCell ref="C656:F658"/>
    <mergeCell ref="C902:F902"/>
    <mergeCell ref="B219:B222"/>
    <mergeCell ref="C261:F261"/>
    <mergeCell ref="C262:F262"/>
    <mergeCell ref="C263:F263"/>
    <mergeCell ref="E278:F278"/>
    <mergeCell ref="E279:F279"/>
    <mergeCell ref="E280:F280"/>
    <mergeCell ref="C238:D243"/>
    <mergeCell ref="C247:F247"/>
    <mergeCell ref="C248:F248"/>
    <mergeCell ref="C249:F249"/>
    <mergeCell ref="C250:F250"/>
    <mergeCell ref="C260:F260"/>
    <mergeCell ref="C257:E258"/>
    <mergeCell ref="B86:B88"/>
    <mergeCell ref="B95:B97"/>
    <mergeCell ref="B103:B104"/>
    <mergeCell ref="B139:B140"/>
    <mergeCell ref="B169:B178"/>
    <mergeCell ref="B190:B195"/>
    <mergeCell ref="B206:B210"/>
    <mergeCell ref="C144:F144"/>
    <mergeCell ref="C145:F145"/>
    <mergeCell ref="C105:F105"/>
    <mergeCell ref="C106:F106"/>
    <mergeCell ref="C107:F107"/>
    <mergeCell ref="C108:F108"/>
    <mergeCell ref="C142:F142"/>
    <mergeCell ref="C143:F143"/>
    <mergeCell ref="C179:F180"/>
    <mergeCell ref="C196:F197"/>
    <mergeCell ref="C99:F100"/>
    <mergeCell ref="C199:F199"/>
    <mergeCell ref="C200:F200"/>
    <mergeCell ref="C201:F201"/>
    <mergeCell ref="C202:F202"/>
    <mergeCell ref="C156:F156"/>
    <mergeCell ref="C157:F157"/>
    <mergeCell ref="D17:E19"/>
    <mergeCell ref="D46:F48"/>
    <mergeCell ref="C49:F49"/>
    <mergeCell ref="C50:F50"/>
    <mergeCell ref="C51:F51"/>
    <mergeCell ref="C52:F52"/>
    <mergeCell ref="C64:F64"/>
    <mergeCell ref="C583:F583"/>
    <mergeCell ref="C584:F584"/>
    <mergeCell ref="C577:D578"/>
    <mergeCell ref="C78:F78"/>
    <mergeCell ref="D86:F87"/>
    <mergeCell ref="C89:F89"/>
    <mergeCell ref="C90:F90"/>
    <mergeCell ref="C91:F91"/>
    <mergeCell ref="C92:F92"/>
    <mergeCell ref="C65:F65"/>
    <mergeCell ref="C66:F66"/>
    <mergeCell ref="C67:F67"/>
    <mergeCell ref="C75:F75"/>
    <mergeCell ref="C76:F76"/>
    <mergeCell ref="C77:F77"/>
    <mergeCell ref="C312:D314"/>
    <mergeCell ref="E312:F312"/>
    <mergeCell ref="E314:F314"/>
    <mergeCell ref="C341:F341"/>
    <mergeCell ref="C212:F212"/>
    <mergeCell ref="C213:F213"/>
    <mergeCell ref="C223:F224"/>
    <mergeCell ref="C282:F282"/>
    <mergeCell ref="C283:F283"/>
    <mergeCell ref="C284:F284"/>
    <mergeCell ref="C285:F285"/>
    <mergeCell ref="E293:F293"/>
    <mergeCell ref="E294:F294"/>
    <mergeCell ref="C296:F297"/>
    <mergeCell ref="C293:D294"/>
    <mergeCell ref="C214:F214"/>
    <mergeCell ref="C215:F215"/>
    <mergeCell ref="C226:F226"/>
    <mergeCell ref="C227:F227"/>
    <mergeCell ref="C228:F228"/>
    <mergeCell ref="C229:F229"/>
    <mergeCell ref="C298:F298"/>
    <mergeCell ref="C299:F299"/>
    <mergeCell ref="C300:F300"/>
    <mergeCell ref="C301:F301"/>
    <mergeCell ref="C342:F342"/>
    <mergeCell ref="C316:F316"/>
    <mergeCell ref="C317:F317"/>
    <mergeCell ref="C318:F318"/>
    <mergeCell ref="C319:F319"/>
    <mergeCell ref="C327:D329"/>
    <mergeCell ref="E327:F327"/>
    <mergeCell ref="E328:F328"/>
    <mergeCell ref="E329:F329"/>
    <mergeCell ref="C338:F339"/>
    <mergeCell ref="C334:C336"/>
    <mergeCell ref="D334:F334"/>
    <mergeCell ref="D335:F335"/>
    <mergeCell ref="D336:F336"/>
    <mergeCell ref="C518:F518"/>
    <mergeCell ref="C519:F519"/>
    <mergeCell ref="D403:F404"/>
    <mergeCell ref="C405:F405"/>
    <mergeCell ref="C406:F406"/>
    <mergeCell ref="C407:F407"/>
    <mergeCell ref="C408:F408"/>
    <mergeCell ref="D414:F415"/>
    <mergeCell ref="C416:F416"/>
    <mergeCell ref="C417:F417"/>
    <mergeCell ref="C418:F418"/>
    <mergeCell ref="D7:E10"/>
    <mergeCell ref="D12:E15"/>
    <mergeCell ref="C810:F810"/>
    <mergeCell ref="C811:F811"/>
    <mergeCell ref="C815:E815"/>
    <mergeCell ref="C818:E818"/>
    <mergeCell ref="C804:F804"/>
    <mergeCell ref="C829:E832"/>
    <mergeCell ref="C784:F784"/>
    <mergeCell ref="C785:F785"/>
    <mergeCell ref="C786:F786"/>
    <mergeCell ref="C787:F787"/>
    <mergeCell ref="C791:E791"/>
    <mergeCell ref="C794:E794"/>
    <mergeCell ref="C805:E807"/>
    <mergeCell ref="C808:F808"/>
    <mergeCell ref="C809:F809"/>
    <mergeCell ref="C743:F743"/>
    <mergeCell ref="D712:F712"/>
    <mergeCell ref="C762:F762"/>
    <mergeCell ref="C763:F763"/>
    <mergeCell ref="C764:F764"/>
    <mergeCell ref="C17:C19"/>
    <mergeCell ref="C343:F343"/>
    <mergeCell ref="B27:B29"/>
    <mergeCell ref="B31:B33"/>
    <mergeCell ref="C665:F665"/>
    <mergeCell ref="C666:F666"/>
    <mergeCell ref="C668:F668"/>
    <mergeCell ref="C677:F677"/>
    <mergeCell ref="C678:F678"/>
    <mergeCell ref="C679:F679"/>
    <mergeCell ref="C680:F680"/>
    <mergeCell ref="C366:F366"/>
    <mergeCell ref="C344:F344"/>
    <mergeCell ref="C352:F352"/>
    <mergeCell ref="C353:F353"/>
    <mergeCell ref="C354:F354"/>
    <mergeCell ref="C355:F355"/>
    <mergeCell ref="C363:F363"/>
    <mergeCell ref="C364:F364"/>
    <mergeCell ref="C365:F365"/>
    <mergeCell ref="C419:F419"/>
    <mergeCell ref="D433:F434"/>
    <mergeCell ref="D439:F440"/>
    <mergeCell ref="E427:E428"/>
    <mergeCell ref="C441:F441"/>
    <mergeCell ref="C442:F442"/>
    <mergeCell ref="D31:E33"/>
    <mergeCell ref="C35:F35"/>
    <mergeCell ref="C36:F36"/>
    <mergeCell ref="C37:F37"/>
    <mergeCell ref="C38:F38"/>
    <mergeCell ref="C565:F565"/>
    <mergeCell ref="C551:F551"/>
    <mergeCell ref="D484:F485"/>
    <mergeCell ref="C689:F689"/>
    <mergeCell ref="C586:F586"/>
    <mergeCell ref="C443:F443"/>
    <mergeCell ref="C444:F444"/>
    <mergeCell ref="D451:F452"/>
    <mergeCell ref="D457:F458"/>
    <mergeCell ref="C554:F554"/>
    <mergeCell ref="C461:F461"/>
    <mergeCell ref="C462:F462"/>
    <mergeCell ref="C463:F463"/>
    <mergeCell ref="D471:F472"/>
    <mergeCell ref="C474:F474"/>
    <mergeCell ref="C475:F475"/>
    <mergeCell ref="C476:F476"/>
    <mergeCell ref="C477:F477"/>
    <mergeCell ref="C460:F460"/>
    <mergeCell ref="C944:E946"/>
    <mergeCell ref="B382:B384"/>
    <mergeCell ref="E382:E383"/>
    <mergeCell ref="D385:F386"/>
    <mergeCell ref="D391:F392"/>
    <mergeCell ref="D397:F398"/>
    <mergeCell ref="C531:F531"/>
    <mergeCell ref="C532:F532"/>
    <mergeCell ref="C533:F533"/>
    <mergeCell ref="B526:B528"/>
    <mergeCell ref="C530:F530"/>
    <mergeCell ref="C511:C514"/>
    <mergeCell ref="C526:C528"/>
    <mergeCell ref="D511:F511"/>
    <mergeCell ref="D512:F512"/>
    <mergeCell ref="D513:F513"/>
    <mergeCell ref="D514:F514"/>
    <mergeCell ref="B511:B514"/>
    <mergeCell ref="C516:F516"/>
    <mergeCell ref="C940:F940"/>
    <mergeCell ref="C929:D930"/>
    <mergeCell ref="C690:F690"/>
    <mergeCell ref="B825:B826"/>
    <mergeCell ref="C517:F517"/>
    <mergeCell ref="C969:D972"/>
    <mergeCell ref="C949:F949"/>
    <mergeCell ref="C950:F950"/>
    <mergeCell ref="D826:F827"/>
    <mergeCell ref="B774:B775"/>
    <mergeCell ref="B800:B802"/>
    <mergeCell ref="B644:B647"/>
    <mergeCell ref="B650:B654"/>
    <mergeCell ref="C663:F663"/>
    <mergeCell ref="C726:F726"/>
    <mergeCell ref="C727:F727"/>
    <mergeCell ref="C728:F728"/>
    <mergeCell ref="C837:F837"/>
    <mergeCell ref="C854:D854"/>
    <mergeCell ref="C855:D855"/>
    <mergeCell ref="E854:E857"/>
    <mergeCell ref="D864:E866"/>
    <mergeCell ref="C894:F894"/>
    <mergeCell ref="C895:F895"/>
    <mergeCell ref="D868:D872"/>
    <mergeCell ref="D886:D887"/>
    <mergeCell ref="D889:F889"/>
    <mergeCell ref="C864:C866"/>
    <mergeCell ref="C939:F939"/>
    <mergeCell ref="B912:B916"/>
    <mergeCell ref="C601:F601"/>
    <mergeCell ref="C602:F602"/>
    <mergeCell ref="C603:F603"/>
    <mergeCell ref="D541:F543"/>
    <mergeCell ref="D546:E549"/>
    <mergeCell ref="C563:F563"/>
    <mergeCell ref="C564:F564"/>
    <mergeCell ref="B612:B614"/>
    <mergeCell ref="D631:F633"/>
    <mergeCell ref="B627:B630"/>
    <mergeCell ref="D711:F711"/>
    <mergeCell ref="D713:E715"/>
    <mergeCell ref="C667:F667"/>
    <mergeCell ref="C618:F618"/>
    <mergeCell ref="C619:F619"/>
    <mergeCell ref="C835:F835"/>
    <mergeCell ref="C765:F765"/>
    <mergeCell ref="C781:E783"/>
    <mergeCell ref="C725:F725"/>
    <mergeCell ref="C868:C872"/>
    <mergeCell ref="C886:C887"/>
    <mergeCell ref="C898:E900"/>
    <mergeCell ref="C903:F903"/>
    <mergeCell ref="C1092:F1092"/>
    <mergeCell ref="C1093:F1095"/>
    <mergeCell ref="C1097:F1100"/>
    <mergeCell ref="C1058:C1063"/>
    <mergeCell ref="D1058:E1063"/>
    <mergeCell ref="C1065:C1066"/>
    <mergeCell ref="D1065:E1066"/>
    <mergeCell ref="C1079:F1079"/>
    <mergeCell ref="C1080:F1080"/>
    <mergeCell ref="C1081:F1081"/>
    <mergeCell ref="C1082:F1082"/>
    <mergeCell ref="C1074:F1077"/>
    <mergeCell ref="C1071:D1071"/>
    <mergeCell ref="C1069:D1069"/>
    <mergeCell ref="C1070:E1070"/>
    <mergeCell ref="F1068:F1072"/>
    <mergeCell ref="E919:E922"/>
    <mergeCell ref="D926:E926"/>
    <mergeCell ref="D927:E927"/>
    <mergeCell ref="C919:D919"/>
    <mergeCell ref="C920:D920"/>
    <mergeCell ref="E929:F929"/>
    <mergeCell ref="E930:F930"/>
    <mergeCell ref="C1086:F1090"/>
    <mergeCell ref="C1018:F1018"/>
    <mergeCell ref="C1019:F1019"/>
    <mergeCell ref="C1020:F1020"/>
    <mergeCell ref="C951:F951"/>
    <mergeCell ref="C974:E976"/>
    <mergeCell ref="C978:F978"/>
    <mergeCell ref="C979:F979"/>
    <mergeCell ref="C980:F980"/>
    <mergeCell ref="C981:F981"/>
    <mergeCell ref="C1006:E1008"/>
    <mergeCell ref="C1013:E1015"/>
    <mergeCell ref="C1017:F1017"/>
    <mergeCell ref="E964:E966"/>
    <mergeCell ref="C964:D966"/>
    <mergeCell ref="C968:F968"/>
    <mergeCell ref="E969:E972"/>
  </mergeCells>
  <conditionalFormatting sqref="B1068:E1072">
    <cfRule type="expression" dxfId="219" priority="2">
      <formula>IF(OR($B$1069:$B$1072)=FALSE,TRUE,FALSE)</formula>
    </cfRule>
  </conditionalFormatting>
  <conditionalFormatting sqref="C874">
    <cfRule type="expression" dxfId="119" priority="32">
      <formula>NOT(AND($B$875,$B$876))</formula>
    </cfRule>
  </conditionalFormatting>
  <conditionalFormatting sqref="C879">
    <cfRule type="expression" dxfId="118" priority="31">
      <formula>NOT(AND($B$880,$B$884))</formula>
    </cfRule>
  </conditionalFormatting>
  <pageMargins left="0.7" right="0.7" top="0.75" bottom="0.75" header="0.3" footer="0.3"/>
  <pageSetup paperSize="9" scale="50"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2</xdr:col>
                    <xdr:colOff>76200</xdr:colOff>
                    <xdr:row>60</xdr:row>
                    <xdr:rowOff>0</xdr:rowOff>
                  </from>
                  <to>
                    <xdr:col>4</xdr:col>
                    <xdr:colOff>106680</xdr:colOff>
                    <xdr:row>60</xdr:row>
                    <xdr:rowOff>182880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2</xdr:col>
                    <xdr:colOff>76200</xdr:colOff>
                    <xdr:row>61</xdr:row>
                    <xdr:rowOff>0</xdr:rowOff>
                  </from>
                  <to>
                    <xdr:col>4</xdr:col>
                    <xdr:colOff>190500</xdr:colOff>
                    <xdr:row>62</xdr:row>
                    <xdr:rowOff>22860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2</xdr:col>
                    <xdr:colOff>76200</xdr:colOff>
                    <xdr:row>62</xdr:row>
                    <xdr:rowOff>0</xdr:rowOff>
                  </from>
                  <to>
                    <xdr:col>5</xdr:col>
                    <xdr:colOff>220980</xdr:colOff>
                    <xdr:row>62</xdr:row>
                    <xdr:rowOff>182880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2</xdr:col>
                    <xdr:colOff>76200</xdr:colOff>
                    <xdr:row>70</xdr:row>
                    <xdr:rowOff>0</xdr:rowOff>
                  </from>
                  <to>
                    <xdr:col>4</xdr:col>
                    <xdr:colOff>106680</xdr:colOff>
                    <xdr:row>70</xdr:row>
                    <xdr:rowOff>182880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2</xdr:col>
                    <xdr:colOff>76200</xdr:colOff>
                    <xdr:row>71</xdr:row>
                    <xdr:rowOff>0</xdr:rowOff>
                  </from>
                  <to>
                    <xdr:col>4</xdr:col>
                    <xdr:colOff>190500</xdr:colOff>
                    <xdr:row>72</xdr:row>
                    <xdr:rowOff>22860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2</xdr:col>
                    <xdr:colOff>76200</xdr:colOff>
                    <xdr:row>72</xdr:row>
                    <xdr:rowOff>182880</xdr:rowOff>
                  </from>
                  <to>
                    <xdr:col>5</xdr:col>
                    <xdr:colOff>220980</xdr:colOff>
                    <xdr:row>73</xdr:row>
                    <xdr:rowOff>175260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2</xdr:col>
                    <xdr:colOff>76200</xdr:colOff>
                    <xdr:row>72</xdr:row>
                    <xdr:rowOff>0</xdr:rowOff>
                  </from>
                  <to>
                    <xdr:col>4</xdr:col>
                    <xdr:colOff>190500</xdr:colOff>
                    <xdr:row>73</xdr:row>
                    <xdr:rowOff>22860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2</xdr:col>
                    <xdr:colOff>114300</xdr:colOff>
                    <xdr:row>93</xdr:row>
                    <xdr:rowOff>190500</xdr:rowOff>
                  </from>
                  <to>
                    <xdr:col>3</xdr:col>
                    <xdr:colOff>487680</xdr:colOff>
                    <xdr:row>95</xdr:row>
                    <xdr:rowOff>22860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2</xdr:col>
                    <xdr:colOff>114300</xdr:colOff>
                    <xdr:row>95</xdr:row>
                    <xdr:rowOff>0</xdr:rowOff>
                  </from>
                  <to>
                    <xdr:col>3</xdr:col>
                    <xdr:colOff>106680</xdr:colOff>
                    <xdr:row>96</xdr:row>
                    <xdr:rowOff>22860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2</xdr:col>
                    <xdr:colOff>114300</xdr:colOff>
                    <xdr:row>102</xdr:row>
                    <xdr:rowOff>0</xdr:rowOff>
                  </from>
                  <to>
                    <xdr:col>3</xdr:col>
                    <xdr:colOff>487680</xdr:colOff>
                    <xdr:row>103</xdr:row>
                    <xdr:rowOff>22860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2</xdr:col>
                    <xdr:colOff>114300</xdr:colOff>
                    <xdr:row>103</xdr:row>
                    <xdr:rowOff>0</xdr:rowOff>
                  </from>
                  <to>
                    <xdr:col>3</xdr:col>
                    <xdr:colOff>106680</xdr:colOff>
                    <xdr:row>104</xdr:row>
                    <xdr:rowOff>22860</xdr:rowOff>
                  </to>
                </anchor>
              </controlPr>
            </control>
          </mc:Choice>
        </mc:AlternateContent>
        <mc:AlternateContent xmlns:mc="http://schemas.openxmlformats.org/markup-compatibility/2006">
          <mc:Choice Requires="x14">
            <control shapeId="4110" r:id="rId15" name="Check Box 14">
              <controlPr defaultSize="0" autoFill="0" autoLine="0" autoPict="0">
                <anchor moveWithCells="1">
                  <from>
                    <xdr:col>2</xdr:col>
                    <xdr:colOff>76200</xdr:colOff>
                    <xdr:row>85</xdr:row>
                    <xdr:rowOff>0</xdr:rowOff>
                  </from>
                  <to>
                    <xdr:col>2</xdr:col>
                    <xdr:colOff>487680</xdr:colOff>
                    <xdr:row>86</xdr:row>
                    <xdr:rowOff>22860</xdr:rowOff>
                  </to>
                </anchor>
              </controlPr>
            </control>
          </mc:Choice>
        </mc:AlternateContent>
        <mc:AlternateContent xmlns:mc="http://schemas.openxmlformats.org/markup-compatibility/2006">
          <mc:Choice Requires="x14">
            <control shapeId="4111" r:id="rId16" name="Check Box 15">
              <controlPr defaultSize="0" autoFill="0" autoLine="0" autoPict="0">
                <anchor moveWithCells="1">
                  <from>
                    <xdr:col>2</xdr:col>
                    <xdr:colOff>76200</xdr:colOff>
                    <xdr:row>86</xdr:row>
                    <xdr:rowOff>0</xdr:rowOff>
                  </from>
                  <to>
                    <xdr:col>2</xdr:col>
                    <xdr:colOff>609600</xdr:colOff>
                    <xdr:row>87</xdr:row>
                    <xdr:rowOff>22860</xdr:rowOff>
                  </to>
                </anchor>
              </controlPr>
            </control>
          </mc:Choice>
        </mc:AlternateContent>
        <mc:AlternateContent xmlns:mc="http://schemas.openxmlformats.org/markup-compatibility/2006">
          <mc:Choice Requires="x14">
            <control shapeId="4112" r:id="rId17" name="Check Box 16">
              <controlPr defaultSize="0" autoFill="0" autoLine="0" autoPict="0">
                <anchor moveWithCells="1">
                  <from>
                    <xdr:col>2</xdr:col>
                    <xdr:colOff>76200</xdr:colOff>
                    <xdr:row>87</xdr:row>
                    <xdr:rowOff>0</xdr:rowOff>
                  </from>
                  <to>
                    <xdr:col>2</xdr:col>
                    <xdr:colOff>495300</xdr:colOff>
                    <xdr:row>88</xdr:row>
                    <xdr:rowOff>22860</xdr:rowOff>
                  </to>
                </anchor>
              </controlPr>
            </control>
          </mc:Choice>
        </mc:AlternateContent>
        <mc:AlternateContent xmlns:mc="http://schemas.openxmlformats.org/markup-compatibility/2006">
          <mc:Choice Requires="x14">
            <control shapeId="4113" r:id="rId18" name="Check Box 17">
              <controlPr defaultSize="0" autoFill="0" autoLine="0" autoPict="0">
                <anchor moveWithCells="1">
                  <from>
                    <xdr:col>2</xdr:col>
                    <xdr:colOff>114300</xdr:colOff>
                    <xdr:row>152</xdr:row>
                    <xdr:rowOff>0</xdr:rowOff>
                  </from>
                  <to>
                    <xdr:col>5</xdr:col>
                    <xdr:colOff>601980</xdr:colOff>
                    <xdr:row>153</xdr:row>
                    <xdr:rowOff>30480</xdr:rowOff>
                  </to>
                </anchor>
              </controlPr>
            </control>
          </mc:Choice>
        </mc:AlternateContent>
        <mc:AlternateContent xmlns:mc="http://schemas.openxmlformats.org/markup-compatibility/2006">
          <mc:Choice Requires="x14">
            <control shapeId="4114" r:id="rId19" name="Check Box 18">
              <controlPr defaultSize="0" autoFill="0" autoLine="0" autoPict="0">
                <anchor moveWithCells="1">
                  <from>
                    <xdr:col>2</xdr:col>
                    <xdr:colOff>114300</xdr:colOff>
                    <xdr:row>152</xdr:row>
                    <xdr:rowOff>190500</xdr:rowOff>
                  </from>
                  <to>
                    <xdr:col>3</xdr:col>
                    <xdr:colOff>106680</xdr:colOff>
                    <xdr:row>154</xdr:row>
                    <xdr:rowOff>22860</xdr:rowOff>
                  </to>
                </anchor>
              </controlPr>
            </control>
          </mc:Choice>
        </mc:AlternateContent>
        <mc:AlternateContent xmlns:mc="http://schemas.openxmlformats.org/markup-compatibility/2006">
          <mc:Choice Requires="x14">
            <control shapeId="4115" r:id="rId20" name="Check Box 19">
              <controlPr defaultSize="0" autoFill="0" autoLine="0" autoPict="0">
                <anchor moveWithCells="1">
                  <from>
                    <xdr:col>3</xdr:col>
                    <xdr:colOff>419100</xdr:colOff>
                    <xdr:row>168</xdr:row>
                    <xdr:rowOff>30480</xdr:rowOff>
                  </from>
                  <to>
                    <xdr:col>5</xdr:col>
                    <xdr:colOff>0</xdr:colOff>
                    <xdr:row>169</xdr:row>
                    <xdr:rowOff>0</xdr:rowOff>
                  </to>
                </anchor>
              </controlPr>
            </control>
          </mc:Choice>
        </mc:AlternateContent>
        <mc:AlternateContent xmlns:mc="http://schemas.openxmlformats.org/markup-compatibility/2006">
          <mc:Choice Requires="x14">
            <control shapeId="4116" r:id="rId21" name="Check Box 20">
              <controlPr defaultSize="0" autoFill="0" autoLine="0" autoPict="0">
                <anchor moveWithCells="1">
                  <from>
                    <xdr:col>3</xdr:col>
                    <xdr:colOff>419100</xdr:colOff>
                    <xdr:row>168</xdr:row>
                    <xdr:rowOff>182880</xdr:rowOff>
                  </from>
                  <to>
                    <xdr:col>4</xdr:col>
                    <xdr:colOff>601980</xdr:colOff>
                    <xdr:row>169</xdr:row>
                    <xdr:rowOff>182880</xdr:rowOff>
                  </to>
                </anchor>
              </controlPr>
            </control>
          </mc:Choice>
        </mc:AlternateContent>
        <mc:AlternateContent xmlns:mc="http://schemas.openxmlformats.org/markup-compatibility/2006">
          <mc:Choice Requires="x14">
            <control shapeId="4117" r:id="rId22" name="Check Box 21">
              <controlPr defaultSize="0" autoFill="0" autoLine="0" autoPict="0">
                <anchor moveWithCells="1">
                  <from>
                    <xdr:col>3</xdr:col>
                    <xdr:colOff>419100</xdr:colOff>
                    <xdr:row>170</xdr:row>
                    <xdr:rowOff>30480</xdr:rowOff>
                  </from>
                  <to>
                    <xdr:col>4</xdr:col>
                    <xdr:colOff>571500</xdr:colOff>
                    <xdr:row>171</xdr:row>
                    <xdr:rowOff>22860</xdr:rowOff>
                  </to>
                </anchor>
              </controlPr>
            </control>
          </mc:Choice>
        </mc:AlternateContent>
        <mc:AlternateContent xmlns:mc="http://schemas.openxmlformats.org/markup-compatibility/2006">
          <mc:Choice Requires="x14">
            <control shapeId="4118" r:id="rId23" name="Check Box 22">
              <controlPr defaultSize="0" autoFill="0" autoLine="0" autoPict="0">
                <anchor moveWithCells="1">
                  <from>
                    <xdr:col>3</xdr:col>
                    <xdr:colOff>419100</xdr:colOff>
                    <xdr:row>171</xdr:row>
                    <xdr:rowOff>0</xdr:rowOff>
                  </from>
                  <to>
                    <xdr:col>4</xdr:col>
                    <xdr:colOff>601980</xdr:colOff>
                    <xdr:row>171</xdr:row>
                    <xdr:rowOff>190500</xdr:rowOff>
                  </to>
                </anchor>
              </controlPr>
            </control>
          </mc:Choice>
        </mc:AlternateContent>
        <mc:AlternateContent xmlns:mc="http://schemas.openxmlformats.org/markup-compatibility/2006">
          <mc:Choice Requires="x14">
            <control shapeId="4119" r:id="rId24" name="Check Box 23">
              <controlPr defaultSize="0" autoFill="0" autoLine="0" autoPict="0">
                <anchor moveWithCells="1">
                  <from>
                    <xdr:col>3</xdr:col>
                    <xdr:colOff>419100</xdr:colOff>
                    <xdr:row>172</xdr:row>
                    <xdr:rowOff>30480</xdr:rowOff>
                  </from>
                  <to>
                    <xdr:col>4</xdr:col>
                    <xdr:colOff>601980</xdr:colOff>
                    <xdr:row>173</xdr:row>
                    <xdr:rowOff>22860</xdr:rowOff>
                  </to>
                </anchor>
              </controlPr>
            </control>
          </mc:Choice>
        </mc:AlternateContent>
        <mc:AlternateContent xmlns:mc="http://schemas.openxmlformats.org/markup-compatibility/2006">
          <mc:Choice Requires="x14">
            <control shapeId="4120" r:id="rId25" name="Check Box 24">
              <controlPr defaultSize="0" autoFill="0" autoLine="0" autoPict="0">
                <anchor moveWithCells="1">
                  <from>
                    <xdr:col>3</xdr:col>
                    <xdr:colOff>419100</xdr:colOff>
                    <xdr:row>172</xdr:row>
                    <xdr:rowOff>182880</xdr:rowOff>
                  </from>
                  <to>
                    <xdr:col>4</xdr:col>
                    <xdr:colOff>563880</xdr:colOff>
                    <xdr:row>173</xdr:row>
                    <xdr:rowOff>190500</xdr:rowOff>
                  </to>
                </anchor>
              </controlPr>
            </control>
          </mc:Choice>
        </mc:AlternateContent>
        <mc:AlternateContent xmlns:mc="http://schemas.openxmlformats.org/markup-compatibility/2006">
          <mc:Choice Requires="x14">
            <control shapeId="4121" r:id="rId26" name="Check Box 25">
              <controlPr defaultSize="0" autoFill="0" autoLine="0" autoPict="0">
                <anchor moveWithCells="1">
                  <from>
                    <xdr:col>3</xdr:col>
                    <xdr:colOff>419100</xdr:colOff>
                    <xdr:row>174</xdr:row>
                    <xdr:rowOff>30480</xdr:rowOff>
                  </from>
                  <to>
                    <xdr:col>4</xdr:col>
                    <xdr:colOff>571500</xdr:colOff>
                    <xdr:row>175</xdr:row>
                    <xdr:rowOff>22860</xdr:rowOff>
                  </to>
                </anchor>
              </controlPr>
            </control>
          </mc:Choice>
        </mc:AlternateContent>
        <mc:AlternateContent xmlns:mc="http://schemas.openxmlformats.org/markup-compatibility/2006">
          <mc:Choice Requires="x14">
            <control shapeId="4122" r:id="rId27" name="Check Box 26">
              <controlPr defaultSize="0" autoFill="0" autoLine="0" autoPict="0">
                <anchor moveWithCells="1">
                  <from>
                    <xdr:col>3</xdr:col>
                    <xdr:colOff>419100</xdr:colOff>
                    <xdr:row>174</xdr:row>
                    <xdr:rowOff>182880</xdr:rowOff>
                  </from>
                  <to>
                    <xdr:col>4</xdr:col>
                    <xdr:colOff>601980</xdr:colOff>
                    <xdr:row>175</xdr:row>
                    <xdr:rowOff>182880</xdr:rowOff>
                  </to>
                </anchor>
              </controlPr>
            </control>
          </mc:Choice>
        </mc:AlternateContent>
        <mc:AlternateContent xmlns:mc="http://schemas.openxmlformats.org/markup-compatibility/2006">
          <mc:Choice Requires="x14">
            <control shapeId="4123" r:id="rId28" name="Check Box 27">
              <controlPr defaultSize="0" autoFill="0" autoLine="0" autoPict="0">
                <anchor moveWithCells="1">
                  <from>
                    <xdr:col>3</xdr:col>
                    <xdr:colOff>419100</xdr:colOff>
                    <xdr:row>176</xdr:row>
                    <xdr:rowOff>30480</xdr:rowOff>
                  </from>
                  <to>
                    <xdr:col>4</xdr:col>
                    <xdr:colOff>601980</xdr:colOff>
                    <xdr:row>177</xdr:row>
                    <xdr:rowOff>0</xdr:rowOff>
                  </to>
                </anchor>
              </controlPr>
            </control>
          </mc:Choice>
        </mc:AlternateContent>
        <mc:AlternateContent xmlns:mc="http://schemas.openxmlformats.org/markup-compatibility/2006">
          <mc:Choice Requires="x14">
            <control shapeId="4124" r:id="rId29" name="Check Box 28">
              <controlPr defaultSize="0" autoFill="0" autoLine="0" autoPict="0">
                <anchor moveWithCells="1">
                  <from>
                    <xdr:col>3</xdr:col>
                    <xdr:colOff>419100</xdr:colOff>
                    <xdr:row>177</xdr:row>
                    <xdr:rowOff>0</xdr:rowOff>
                  </from>
                  <to>
                    <xdr:col>4</xdr:col>
                    <xdr:colOff>601980</xdr:colOff>
                    <xdr:row>177</xdr:row>
                    <xdr:rowOff>190500</xdr:rowOff>
                  </to>
                </anchor>
              </controlPr>
            </control>
          </mc:Choice>
        </mc:AlternateContent>
        <mc:AlternateContent xmlns:mc="http://schemas.openxmlformats.org/markup-compatibility/2006">
          <mc:Choice Requires="x14">
            <control shapeId="4125" r:id="rId30" name="Check Box 29">
              <controlPr defaultSize="0" autoFill="0" autoLine="0" autoPict="0">
                <anchor moveWithCells="1">
                  <from>
                    <xdr:col>2</xdr:col>
                    <xdr:colOff>76200</xdr:colOff>
                    <xdr:row>206</xdr:row>
                    <xdr:rowOff>0</xdr:rowOff>
                  </from>
                  <to>
                    <xdr:col>2</xdr:col>
                    <xdr:colOff>1402080</xdr:colOff>
                    <xdr:row>207</xdr:row>
                    <xdr:rowOff>22860</xdr:rowOff>
                  </to>
                </anchor>
              </controlPr>
            </control>
          </mc:Choice>
        </mc:AlternateContent>
        <mc:AlternateContent xmlns:mc="http://schemas.openxmlformats.org/markup-compatibility/2006">
          <mc:Choice Requires="x14">
            <control shapeId="4126" r:id="rId31" name="Check Box 30">
              <controlPr defaultSize="0" autoFill="0" autoLine="0" autoPict="0">
                <anchor moveWithCells="1">
                  <from>
                    <xdr:col>2</xdr:col>
                    <xdr:colOff>76200</xdr:colOff>
                    <xdr:row>207</xdr:row>
                    <xdr:rowOff>0</xdr:rowOff>
                  </from>
                  <to>
                    <xdr:col>4</xdr:col>
                    <xdr:colOff>190500</xdr:colOff>
                    <xdr:row>208</xdr:row>
                    <xdr:rowOff>22860</xdr:rowOff>
                  </to>
                </anchor>
              </controlPr>
            </control>
          </mc:Choice>
        </mc:AlternateContent>
        <mc:AlternateContent xmlns:mc="http://schemas.openxmlformats.org/markup-compatibility/2006">
          <mc:Choice Requires="x14">
            <control shapeId="4127" r:id="rId32" name="Check Box 31">
              <controlPr defaultSize="0" autoFill="0" autoLine="0" autoPict="0">
                <anchor moveWithCells="1">
                  <from>
                    <xdr:col>2</xdr:col>
                    <xdr:colOff>76200</xdr:colOff>
                    <xdr:row>208</xdr:row>
                    <xdr:rowOff>182880</xdr:rowOff>
                  </from>
                  <to>
                    <xdr:col>5</xdr:col>
                    <xdr:colOff>220980</xdr:colOff>
                    <xdr:row>209</xdr:row>
                    <xdr:rowOff>175260</xdr:rowOff>
                  </to>
                </anchor>
              </controlPr>
            </control>
          </mc:Choice>
        </mc:AlternateContent>
        <mc:AlternateContent xmlns:mc="http://schemas.openxmlformats.org/markup-compatibility/2006">
          <mc:Choice Requires="x14">
            <control shapeId="4128" r:id="rId33" name="Check Box 32">
              <controlPr defaultSize="0" autoFill="0" autoLine="0" autoPict="0">
                <anchor moveWithCells="1">
                  <from>
                    <xdr:col>2</xdr:col>
                    <xdr:colOff>76200</xdr:colOff>
                    <xdr:row>208</xdr:row>
                    <xdr:rowOff>0</xdr:rowOff>
                  </from>
                  <to>
                    <xdr:col>4</xdr:col>
                    <xdr:colOff>190500</xdr:colOff>
                    <xdr:row>209</xdr:row>
                    <xdr:rowOff>22860</xdr:rowOff>
                  </to>
                </anchor>
              </controlPr>
            </control>
          </mc:Choice>
        </mc:AlternateContent>
        <mc:AlternateContent xmlns:mc="http://schemas.openxmlformats.org/markup-compatibility/2006">
          <mc:Choice Requires="x14">
            <control shapeId="4129" r:id="rId34" name="Check Box 33">
              <controlPr defaultSize="0" autoFill="0" autoLine="0" autoPict="0">
                <anchor moveWithCells="1">
                  <from>
                    <xdr:col>3</xdr:col>
                    <xdr:colOff>30480</xdr:colOff>
                    <xdr:row>219</xdr:row>
                    <xdr:rowOff>30480</xdr:rowOff>
                  </from>
                  <to>
                    <xdr:col>3</xdr:col>
                    <xdr:colOff>525780</xdr:colOff>
                    <xdr:row>220</xdr:row>
                    <xdr:rowOff>0</xdr:rowOff>
                  </to>
                </anchor>
              </controlPr>
            </control>
          </mc:Choice>
        </mc:AlternateContent>
        <mc:AlternateContent xmlns:mc="http://schemas.openxmlformats.org/markup-compatibility/2006">
          <mc:Choice Requires="x14">
            <control shapeId="4130" r:id="rId35" name="Check Box 34">
              <controlPr defaultSize="0" autoFill="0" autoLine="0" autoPict="0">
                <anchor moveWithCells="1">
                  <from>
                    <xdr:col>4</xdr:col>
                    <xdr:colOff>30480</xdr:colOff>
                    <xdr:row>219</xdr:row>
                    <xdr:rowOff>30480</xdr:rowOff>
                  </from>
                  <to>
                    <xdr:col>5</xdr:col>
                    <xdr:colOff>0</xdr:colOff>
                    <xdr:row>220</xdr:row>
                    <xdr:rowOff>0</xdr:rowOff>
                  </to>
                </anchor>
              </controlPr>
            </control>
          </mc:Choice>
        </mc:AlternateContent>
        <mc:AlternateContent xmlns:mc="http://schemas.openxmlformats.org/markup-compatibility/2006">
          <mc:Choice Requires="x14">
            <control shapeId="4131" r:id="rId36" name="Check Box 35">
              <controlPr defaultSize="0" autoFill="0" autoLine="0" autoPict="0">
                <anchor moveWithCells="1">
                  <from>
                    <xdr:col>3</xdr:col>
                    <xdr:colOff>30480</xdr:colOff>
                    <xdr:row>220</xdr:row>
                    <xdr:rowOff>30480</xdr:rowOff>
                  </from>
                  <to>
                    <xdr:col>3</xdr:col>
                    <xdr:colOff>525780</xdr:colOff>
                    <xdr:row>221</xdr:row>
                    <xdr:rowOff>0</xdr:rowOff>
                  </to>
                </anchor>
              </controlPr>
            </control>
          </mc:Choice>
        </mc:AlternateContent>
        <mc:AlternateContent xmlns:mc="http://schemas.openxmlformats.org/markup-compatibility/2006">
          <mc:Choice Requires="x14">
            <control shapeId="4132" r:id="rId37" name="Check Box 36">
              <controlPr defaultSize="0" autoFill="0" autoLine="0" autoPict="0">
                <anchor moveWithCells="1">
                  <from>
                    <xdr:col>4</xdr:col>
                    <xdr:colOff>30480</xdr:colOff>
                    <xdr:row>220</xdr:row>
                    <xdr:rowOff>30480</xdr:rowOff>
                  </from>
                  <to>
                    <xdr:col>5</xdr:col>
                    <xdr:colOff>0</xdr:colOff>
                    <xdr:row>221</xdr:row>
                    <xdr:rowOff>0</xdr:rowOff>
                  </to>
                </anchor>
              </controlPr>
            </control>
          </mc:Choice>
        </mc:AlternateContent>
        <mc:AlternateContent xmlns:mc="http://schemas.openxmlformats.org/markup-compatibility/2006">
          <mc:Choice Requires="x14">
            <control shapeId="4133" r:id="rId38" name="Check Box 37">
              <controlPr defaultSize="0" autoFill="0" autoLine="0" autoPict="0">
                <anchor moveWithCells="1">
                  <from>
                    <xdr:col>3</xdr:col>
                    <xdr:colOff>30480</xdr:colOff>
                    <xdr:row>221</xdr:row>
                    <xdr:rowOff>30480</xdr:rowOff>
                  </from>
                  <to>
                    <xdr:col>3</xdr:col>
                    <xdr:colOff>525780</xdr:colOff>
                    <xdr:row>221</xdr:row>
                    <xdr:rowOff>190500</xdr:rowOff>
                  </to>
                </anchor>
              </controlPr>
            </control>
          </mc:Choice>
        </mc:AlternateContent>
        <mc:AlternateContent xmlns:mc="http://schemas.openxmlformats.org/markup-compatibility/2006">
          <mc:Choice Requires="x14">
            <control shapeId="4134" r:id="rId39" name="Check Box 38">
              <controlPr defaultSize="0" autoFill="0" autoLine="0" autoPict="0">
                <anchor moveWithCells="1">
                  <from>
                    <xdr:col>4</xdr:col>
                    <xdr:colOff>30480</xdr:colOff>
                    <xdr:row>221</xdr:row>
                    <xdr:rowOff>30480</xdr:rowOff>
                  </from>
                  <to>
                    <xdr:col>5</xdr:col>
                    <xdr:colOff>0</xdr:colOff>
                    <xdr:row>221</xdr:row>
                    <xdr:rowOff>190500</xdr:rowOff>
                  </to>
                </anchor>
              </controlPr>
            </control>
          </mc:Choice>
        </mc:AlternateContent>
        <mc:AlternateContent xmlns:mc="http://schemas.openxmlformats.org/markup-compatibility/2006">
          <mc:Choice Requires="x14">
            <control shapeId="4135" r:id="rId40" name="Check Box 39">
              <controlPr defaultSize="0" autoFill="0" autoLine="0" autoPict="0">
                <anchor moveWithCells="1">
                  <from>
                    <xdr:col>2</xdr:col>
                    <xdr:colOff>76200</xdr:colOff>
                    <xdr:row>274</xdr:row>
                    <xdr:rowOff>182880</xdr:rowOff>
                  </from>
                  <to>
                    <xdr:col>2</xdr:col>
                    <xdr:colOff>1059180</xdr:colOff>
                    <xdr:row>276</xdr:row>
                    <xdr:rowOff>22860</xdr:rowOff>
                  </to>
                </anchor>
              </controlPr>
            </control>
          </mc:Choice>
        </mc:AlternateContent>
        <mc:AlternateContent xmlns:mc="http://schemas.openxmlformats.org/markup-compatibility/2006">
          <mc:Choice Requires="x14">
            <control shapeId="4136" r:id="rId41" name="Check Box 40">
              <controlPr defaultSize="0" autoFill="0" autoLine="0" autoPict="0">
                <anchor moveWithCells="1">
                  <from>
                    <xdr:col>2</xdr:col>
                    <xdr:colOff>76200</xdr:colOff>
                    <xdr:row>275</xdr:row>
                    <xdr:rowOff>182880</xdr:rowOff>
                  </from>
                  <to>
                    <xdr:col>3</xdr:col>
                    <xdr:colOff>220980</xdr:colOff>
                    <xdr:row>276</xdr:row>
                    <xdr:rowOff>190500</xdr:rowOff>
                  </to>
                </anchor>
              </controlPr>
            </control>
          </mc:Choice>
        </mc:AlternateContent>
        <mc:AlternateContent xmlns:mc="http://schemas.openxmlformats.org/markup-compatibility/2006">
          <mc:Choice Requires="x14">
            <control shapeId="4137" r:id="rId42" name="Check Box 41">
              <controlPr defaultSize="0" autoFill="0" autoLine="0" autoPict="0">
                <anchor moveWithCells="1">
                  <from>
                    <xdr:col>2</xdr:col>
                    <xdr:colOff>114300</xdr:colOff>
                    <xdr:row>330</xdr:row>
                    <xdr:rowOff>190500</xdr:rowOff>
                  </from>
                  <to>
                    <xdr:col>2</xdr:col>
                    <xdr:colOff>487680</xdr:colOff>
                    <xdr:row>332</xdr:row>
                    <xdr:rowOff>22860</xdr:rowOff>
                  </to>
                </anchor>
              </controlPr>
            </control>
          </mc:Choice>
        </mc:AlternateContent>
        <mc:AlternateContent xmlns:mc="http://schemas.openxmlformats.org/markup-compatibility/2006">
          <mc:Choice Requires="x14">
            <control shapeId="4138" r:id="rId43" name="Check Box 42">
              <controlPr defaultSize="0" autoFill="0" autoLine="0" autoPict="0">
                <anchor moveWithCells="1">
                  <from>
                    <xdr:col>2</xdr:col>
                    <xdr:colOff>495300</xdr:colOff>
                    <xdr:row>331</xdr:row>
                    <xdr:rowOff>0</xdr:rowOff>
                  </from>
                  <to>
                    <xdr:col>2</xdr:col>
                    <xdr:colOff>906780</xdr:colOff>
                    <xdr:row>332</xdr:row>
                    <xdr:rowOff>22860</xdr:rowOff>
                  </to>
                </anchor>
              </controlPr>
            </control>
          </mc:Choice>
        </mc:AlternateContent>
        <mc:AlternateContent xmlns:mc="http://schemas.openxmlformats.org/markup-compatibility/2006">
          <mc:Choice Requires="x14">
            <control shapeId="4139" r:id="rId44" name="Check Box 43">
              <controlPr defaultSize="0" autoFill="0" autoLine="0" autoPict="0">
                <anchor moveWithCells="1">
                  <from>
                    <xdr:col>2</xdr:col>
                    <xdr:colOff>76200</xdr:colOff>
                    <xdr:row>45</xdr:row>
                    <xdr:rowOff>0</xdr:rowOff>
                  </from>
                  <to>
                    <xdr:col>2</xdr:col>
                    <xdr:colOff>906780</xdr:colOff>
                    <xdr:row>46</xdr:row>
                    <xdr:rowOff>0</xdr:rowOff>
                  </to>
                </anchor>
              </controlPr>
            </control>
          </mc:Choice>
        </mc:AlternateContent>
        <mc:AlternateContent xmlns:mc="http://schemas.openxmlformats.org/markup-compatibility/2006">
          <mc:Choice Requires="x14">
            <control shapeId="4140" r:id="rId45" name="Check Box 44">
              <controlPr defaultSize="0" autoFill="0" autoLine="0" autoPict="0">
                <anchor moveWithCells="1">
                  <from>
                    <xdr:col>2</xdr:col>
                    <xdr:colOff>76200</xdr:colOff>
                    <xdr:row>46</xdr:row>
                    <xdr:rowOff>0</xdr:rowOff>
                  </from>
                  <to>
                    <xdr:col>2</xdr:col>
                    <xdr:colOff>944880</xdr:colOff>
                    <xdr:row>47</xdr:row>
                    <xdr:rowOff>0</xdr:rowOff>
                  </to>
                </anchor>
              </controlPr>
            </control>
          </mc:Choice>
        </mc:AlternateContent>
        <mc:AlternateContent xmlns:mc="http://schemas.openxmlformats.org/markup-compatibility/2006">
          <mc:Choice Requires="x14">
            <control shapeId="4142" r:id="rId46" name="Check Box 46">
              <controlPr defaultSize="0" autoFill="0" autoLine="0" autoPict="0">
                <anchor moveWithCells="1">
                  <from>
                    <xdr:col>2</xdr:col>
                    <xdr:colOff>76200</xdr:colOff>
                    <xdr:row>611</xdr:row>
                    <xdr:rowOff>190500</xdr:rowOff>
                  </from>
                  <to>
                    <xdr:col>3</xdr:col>
                    <xdr:colOff>419100</xdr:colOff>
                    <xdr:row>613</xdr:row>
                    <xdr:rowOff>0</xdr:rowOff>
                  </to>
                </anchor>
              </controlPr>
            </control>
          </mc:Choice>
        </mc:AlternateContent>
        <mc:AlternateContent xmlns:mc="http://schemas.openxmlformats.org/markup-compatibility/2006">
          <mc:Choice Requires="x14">
            <control shapeId="4143" r:id="rId47" name="Check Box 47">
              <controlPr defaultSize="0" autoFill="0" autoLine="0" autoPict="0">
                <anchor moveWithCells="1">
                  <from>
                    <xdr:col>2</xdr:col>
                    <xdr:colOff>76200</xdr:colOff>
                    <xdr:row>612</xdr:row>
                    <xdr:rowOff>182880</xdr:rowOff>
                  </from>
                  <to>
                    <xdr:col>3</xdr:col>
                    <xdr:colOff>68580</xdr:colOff>
                    <xdr:row>614</xdr:row>
                    <xdr:rowOff>22860</xdr:rowOff>
                  </to>
                </anchor>
              </controlPr>
            </control>
          </mc:Choice>
        </mc:AlternateContent>
        <mc:AlternateContent xmlns:mc="http://schemas.openxmlformats.org/markup-compatibility/2006">
          <mc:Choice Requires="x14">
            <control shapeId="4147" r:id="rId48" name="Check Box 51">
              <controlPr defaultSize="0" autoFill="0" autoLine="0" autoPict="0">
                <anchor moveWithCells="1">
                  <from>
                    <xdr:col>2</xdr:col>
                    <xdr:colOff>106680</xdr:colOff>
                    <xdr:row>728</xdr:row>
                    <xdr:rowOff>182880</xdr:rowOff>
                  </from>
                  <to>
                    <xdr:col>3</xdr:col>
                    <xdr:colOff>487680</xdr:colOff>
                    <xdr:row>730</xdr:row>
                    <xdr:rowOff>30480</xdr:rowOff>
                  </to>
                </anchor>
              </controlPr>
            </control>
          </mc:Choice>
        </mc:AlternateContent>
        <mc:AlternateContent xmlns:mc="http://schemas.openxmlformats.org/markup-compatibility/2006">
          <mc:Choice Requires="x14">
            <control shapeId="4159" r:id="rId49" name="Check Box 63">
              <controlPr defaultSize="0" autoFill="0" autoLine="0" autoPict="0">
                <anchor moveWithCells="1">
                  <from>
                    <xdr:col>0</xdr:col>
                    <xdr:colOff>0</xdr:colOff>
                    <xdr:row>23</xdr:row>
                    <xdr:rowOff>30480</xdr:rowOff>
                  </from>
                  <to>
                    <xdr:col>1</xdr:col>
                    <xdr:colOff>68580</xdr:colOff>
                    <xdr:row>23</xdr:row>
                    <xdr:rowOff>259080</xdr:rowOff>
                  </to>
                </anchor>
              </controlPr>
            </control>
          </mc:Choice>
        </mc:AlternateContent>
        <mc:AlternateContent xmlns:mc="http://schemas.openxmlformats.org/markup-compatibility/2006">
          <mc:Choice Requires="x14">
            <control shapeId="4160" r:id="rId50" name="Check Box 64">
              <controlPr defaultSize="0" autoFill="0" autoLine="0" autoPict="0">
                <anchor moveWithCells="1">
                  <from>
                    <xdr:col>0</xdr:col>
                    <xdr:colOff>0</xdr:colOff>
                    <xdr:row>42</xdr:row>
                    <xdr:rowOff>30480</xdr:rowOff>
                  </from>
                  <to>
                    <xdr:col>1</xdr:col>
                    <xdr:colOff>68580</xdr:colOff>
                    <xdr:row>42</xdr:row>
                    <xdr:rowOff>259080</xdr:rowOff>
                  </to>
                </anchor>
              </controlPr>
            </control>
          </mc:Choice>
        </mc:AlternateContent>
        <mc:AlternateContent xmlns:mc="http://schemas.openxmlformats.org/markup-compatibility/2006">
          <mc:Choice Requires="x14">
            <control shapeId="4161" r:id="rId51" name="Check Box 65">
              <controlPr defaultSize="0" autoFill="0" autoLine="0" autoPict="0">
                <anchor moveWithCells="1">
                  <from>
                    <xdr:col>0</xdr:col>
                    <xdr:colOff>0</xdr:colOff>
                    <xdr:row>55</xdr:row>
                    <xdr:rowOff>182880</xdr:rowOff>
                  </from>
                  <to>
                    <xdr:col>1</xdr:col>
                    <xdr:colOff>68580</xdr:colOff>
                    <xdr:row>57</xdr:row>
                    <xdr:rowOff>60960</xdr:rowOff>
                  </to>
                </anchor>
              </controlPr>
            </control>
          </mc:Choice>
        </mc:AlternateContent>
        <mc:AlternateContent xmlns:mc="http://schemas.openxmlformats.org/markup-compatibility/2006">
          <mc:Choice Requires="x14">
            <control shapeId="4162" r:id="rId52" name="Check Box 66">
              <controlPr defaultSize="0" autoFill="0" autoLine="0" autoPict="0">
                <anchor moveWithCells="1">
                  <from>
                    <xdr:col>0</xdr:col>
                    <xdr:colOff>0</xdr:colOff>
                    <xdr:row>54</xdr:row>
                    <xdr:rowOff>30480</xdr:rowOff>
                  </from>
                  <to>
                    <xdr:col>1</xdr:col>
                    <xdr:colOff>68580</xdr:colOff>
                    <xdr:row>54</xdr:row>
                    <xdr:rowOff>259080</xdr:rowOff>
                  </to>
                </anchor>
              </controlPr>
            </control>
          </mc:Choice>
        </mc:AlternateContent>
        <mc:AlternateContent xmlns:mc="http://schemas.openxmlformats.org/markup-compatibility/2006">
          <mc:Choice Requires="x14">
            <control shapeId="4163" r:id="rId53" name="Check Box 67">
              <controlPr defaultSize="0" autoFill="0" autoLine="0" autoPict="0">
                <anchor moveWithCells="1">
                  <from>
                    <xdr:col>0</xdr:col>
                    <xdr:colOff>0</xdr:colOff>
                    <xdr:row>80</xdr:row>
                    <xdr:rowOff>182880</xdr:rowOff>
                  </from>
                  <to>
                    <xdr:col>1</xdr:col>
                    <xdr:colOff>68580</xdr:colOff>
                    <xdr:row>82</xdr:row>
                    <xdr:rowOff>22860</xdr:rowOff>
                  </to>
                </anchor>
              </controlPr>
            </control>
          </mc:Choice>
        </mc:AlternateContent>
        <mc:AlternateContent xmlns:mc="http://schemas.openxmlformats.org/markup-compatibility/2006">
          <mc:Choice Requires="x14">
            <control shapeId="4164" r:id="rId54" name="Check Box 68">
              <controlPr defaultSize="0" autoFill="0" autoLine="0" autoPict="0">
                <anchor moveWithCells="1">
                  <from>
                    <xdr:col>0</xdr:col>
                    <xdr:colOff>0</xdr:colOff>
                    <xdr:row>110</xdr:row>
                    <xdr:rowOff>182880</xdr:rowOff>
                  </from>
                  <to>
                    <xdr:col>1</xdr:col>
                    <xdr:colOff>68580</xdr:colOff>
                    <xdr:row>112</xdr:row>
                    <xdr:rowOff>22860</xdr:rowOff>
                  </to>
                </anchor>
              </controlPr>
            </control>
          </mc:Choice>
        </mc:AlternateContent>
        <mc:AlternateContent xmlns:mc="http://schemas.openxmlformats.org/markup-compatibility/2006">
          <mc:Choice Requires="x14">
            <control shapeId="4165" r:id="rId55" name="Check Box 69">
              <controlPr defaultSize="0" autoFill="0" autoLine="0" autoPict="0">
                <anchor moveWithCells="1">
                  <from>
                    <xdr:col>2</xdr:col>
                    <xdr:colOff>114300</xdr:colOff>
                    <xdr:row>96</xdr:row>
                    <xdr:rowOff>0</xdr:rowOff>
                  </from>
                  <to>
                    <xdr:col>2</xdr:col>
                    <xdr:colOff>533400</xdr:colOff>
                    <xdr:row>97</xdr:row>
                    <xdr:rowOff>22860</xdr:rowOff>
                  </to>
                </anchor>
              </controlPr>
            </control>
          </mc:Choice>
        </mc:AlternateContent>
        <mc:AlternateContent xmlns:mc="http://schemas.openxmlformats.org/markup-compatibility/2006">
          <mc:Choice Requires="x14">
            <control shapeId="4166" r:id="rId56" name="Check Box 70">
              <controlPr defaultSize="0" autoFill="0" autoLine="0" autoPict="0">
                <anchor moveWithCells="1">
                  <from>
                    <xdr:col>2</xdr:col>
                    <xdr:colOff>114300</xdr:colOff>
                    <xdr:row>138</xdr:row>
                    <xdr:rowOff>30480</xdr:rowOff>
                  </from>
                  <to>
                    <xdr:col>3</xdr:col>
                    <xdr:colOff>335280</xdr:colOff>
                    <xdr:row>139</xdr:row>
                    <xdr:rowOff>0</xdr:rowOff>
                  </to>
                </anchor>
              </controlPr>
            </control>
          </mc:Choice>
        </mc:AlternateContent>
        <mc:AlternateContent xmlns:mc="http://schemas.openxmlformats.org/markup-compatibility/2006">
          <mc:Choice Requires="x14">
            <control shapeId="4169" r:id="rId57" name="Check Box 73">
              <controlPr defaultSize="0" autoFill="0" autoLine="0" autoPict="0">
                <anchor moveWithCells="1">
                  <from>
                    <xdr:col>0</xdr:col>
                    <xdr:colOff>0</xdr:colOff>
                    <xdr:row>147</xdr:row>
                    <xdr:rowOff>182880</xdr:rowOff>
                  </from>
                  <to>
                    <xdr:col>1</xdr:col>
                    <xdr:colOff>68580</xdr:colOff>
                    <xdr:row>149</xdr:row>
                    <xdr:rowOff>22860</xdr:rowOff>
                  </to>
                </anchor>
              </controlPr>
            </control>
          </mc:Choice>
        </mc:AlternateContent>
        <mc:AlternateContent xmlns:mc="http://schemas.openxmlformats.org/markup-compatibility/2006">
          <mc:Choice Requires="x14">
            <control shapeId="4170" r:id="rId58" name="Check Box 74">
              <controlPr defaultSize="0" autoFill="0" autoLine="0" autoPict="0">
                <anchor moveWithCells="1">
                  <from>
                    <xdr:col>0</xdr:col>
                    <xdr:colOff>0</xdr:colOff>
                    <xdr:row>161</xdr:row>
                    <xdr:rowOff>182880</xdr:rowOff>
                  </from>
                  <to>
                    <xdr:col>1</xdr:col>
                    <xdr:colOff>68580</xdr:colOff>
                    <xdr:row>163</xdr:row>
                    <xdr:rowOff>22860</xdr:rowOff>
                  </to>
                </anchor>
              </controlPr>
            </control>
          </mc:Choice>
        </mc:AlternateContent>
        <mc:AlternateContent xmlns:mc="http://schemas.openxmlformats.org/markup-compatibility/2006">
          <mc:Choice Requires="x14">
            <control shapeId="4171" r:id="rId59" name="Check Box 75">
              <controlPr defaultSize="0" autoFill="0" autoLine="0" autoPict="0">
                <anchor moveWithCells="1">
                  <from>
                    <xdr:col>2</xdr:col>
                    <xdr:colOff>68580</xdr:colOff>
                    <xdr:row>205</xdr:row>
                    <xdr:rowOff>0</xdr:rowOff>
                  </from>
                  <to>
                    <xdr:col>5</xdr:col>
                    <xdr:colOff>220980</xdr:colOff>
                    <xdr:row>205</xdr:row>
                    <xdr:rowOff>182880</xdr:rowOff>
                  </to>
                </anchor>
              </controlPr>
            </control>
          </mc:Choice>
        </mc:AlternateContent>
        <mc:AlternateContent xmlns:mc="http://schemas.openxmlformats.org/markup-compatibility/2006">
          <mc:Choice Requires="x14">
            <control shapeId="4172" r:id="rId60" name="Check Box 76">
              <controlPr defaultSize="0" autoFill="0" autoLine="0" autoPict="0">
                <anchor moveWithCells="1">
                  <from>
                    <xdr:col>1</xdr:col>
                    <xdr:colOff>647700</xdr:colOff>
                    <xdr:row>166</xdr:row>
                    <xdr:rowOff>182880</xdr:rowOff>
                  </from>
                  <to>
                    <xdr:col>3</xdr:col>
                    <xdr:colOff>83820</xdr:colOff>
                    <xdr:row>167</xdr:row>
                    <xdr:rowOff>182880</xdr:rowOff>
                  </to>
                </anchor>
              </controlPr>
            </control>
          </mc:Choice>
        </mc:AlternateContent>
        <mc:AlternateContent xmlns:mc="http://schemas.openxmlformats.org/markup-compatibility/2006">
          <mc:Choice Requires="x14">
            <control shapeId="4173" r:id="rId61" name="Check Box 77">
              <controlPr defaultSize="0" autoFill="0" autoLine="0" autoPict="0">
                <anchor moveWithCells="1">
                  <from>
                    <xdr:col>1</xdr:col>
                    <xdr:colOff>678180</xdr:colOff>
                    <xdr:row>188</xdr:row>
                    <xdr:rowOff>0</xdr:rowOff>
                  </from>
                  <to>
                    <xdr:col>4</xdr:col>
                    <xdr:colOff>274320</xdr:colOff>
                    <xdr:row>188</xdr:row>
                    <xdr:rowOff>182880</xdr:rowOff>
                  </to>
                </anchor>
              </controlPr>
            </control>
          </mc:Choice>
        </mc:AlternateContent>
        <mc:AlternateContent xmlns:mc="http://schemas.openxmlformats.org/markup-compatibility/2006">
          <mc:Choice Requires="x14">
            <control shapeId="4174" r:id="rId62" name="Check Box 78">
              <controlPr defaultSize="0" autoFill="0" autoLine="0" autoPict="0">
                <anchor moveWithCells="1">
                  <from>
                    <xdr:col>1</xdr:col>
                    <xdr:colOff>678180</xdr:colOff>
                    <xdr:row>218</xdr:row>
                    <xdr:rowOff>30480</xdr:rowOff>
                  </from>
                  <to>
                    <xdr:col>3</xdr:col>
                    <xdr:colOff>541020</xdr:colOff>
                    <xdr:row>219</xdr:row>
                    <xdr:rowOff>22860</xdr:rowOff>
                  </to>
                </anchor>
              </controlPr>
            </control>
          </mc:Choice>
        </mc:AlternateContent>
        <mc:AlternateContent xmlns:mc="http://schemas.openxmlformats.org/markup-compatibility/2006">
          <mc:Choice Requires="x14">
            <control shapeId="4175" r:id="rId63" name="Check Box 79">
              <controlPr defaultSize="0" autoFill="0" autoLine="0" autoPict="0">
                <anchor moveWithCells="1">
                  <from>
                    <xdr:col>0</xdr:col>
                    <xdr:colOff>0</xdr:colOff>
                    <xdr:row>231</xdr:row>
                    <xdr:rowOff>182880</xdr:rowOff>
                  </from>
                  <to>
                    <xdr:col>1</xdr:col>
                    <xdr:colOff>68580</xdr:colOff>
                    <xdr:row>233</xdr:row>
                    <xdr:rowOff>22860</xdr:rowOff>
                  </to>
                </anchor>
              </controlPr>
            </control>
          </mc:Choice>
        </mc:AlternateContent>
        <mc:AlternateContent xmlns:mc="http://schemas.openxmlformats.org/markup-compatibility/2006">
          <mc:Choice Requires="x14">
            <control shapeId="4176" r:id="rId64" name="Check Box 80">
              <controlPr defaultSize="0" autoFill="0" autoLine="0" autoPict="0">
                <anchor moveWithCells="1">
                  <from>
                    <xdr:col>0</xdr:col>
                    <xdr:colOff>0</xdr:colOff>
                    <xdr:row>251</xdr:row>
                    <xdr:rowOff>182880</xdr:rowOff>
                  </from>
                  <to>
                    <xdr:col>1</xdr:col>
                    <xdr:colOff>68580</xdr:colOff>
                    <xdr:row>253</xdr:row>
                    <xdr:rowOff>22860</xdr:rowOff>
                  </to>
                </anchor>
              </controlPr>
            </control>
          </mc:Choice>
        </mc:AlternateContent>
        <mc:AlternateContent xmlns:mc="http://schemas.openxmlformats.org/markup-compatibility/2006">
          <mc:Choice Requires="x14">
            <control shapeId="4183" r:id="rId65" name="Check Box 87">
              <controlPr defaultSize="0" autoFill="0" autoLine="0" autoPict="0">
                <anchor moveWithCells="1">
                  <from>
                    <xdr:col>0</xdr:col>
                    <xdr:colOff>0</xdr:colOff>
                    <xdr:row>264</xdr:row>
                    <xdr:rowOff>182880</xdr:rowOff>
                  </from>
                  <to>
                    <xdr:col>1</xdr:col>
                    <xdr:colOff>68580</xdr:colOff>
                    <xdr:row>266</xdr:row>
                    <xdr:rowOff>22860</xdr:rowOff>
                  </to>
                </anchor>
              </controlPr>
            </control>
          </mc:Choice>
        </mc:AlternateContent>
        <mc:AlternateContent xmlns:mc="http://schemas.openxmlformats.org/markup-compatibility/2006">
          <mc:Choice Requires="x14">
            <control shapeId="4184" r:id="rId66" name="Check Box 88">
              <controlPr defaultSize="0" autoFill="0" autoLine="0" autoPict="0">
                <anchor moveWithCells="1">
                  <from>
                    <xdr:col>0</xdr:col>
                    <xdr:colOff>0</xdr:colOff>
                    <xdr:row>287</xdr:row>
                    <xdr:rowOff>182880</xdr:rowOff>
                  </from>
                  <to>
                    <xdr:col>1</xdr:col>
                    <xdr:colOff>68580</xdr:colOff>
                    <xdr:row>289</xdr:row>
                    <xdr:rowOff>60960</xdr:rowOff>
                  </to>
                </anchor>
              </controlPr>
            </control>
          </mc:Choice>
        </mc:AlternateContent>
        <mc:AlternateContent xmlns:mc="http://schemas.openxmlformats.org/markup-compatibility/2006">
          <mc:Choice Requires="x14">
            <control shapeId="4185" r:id="rId67" name="Check Box 89">
              <controlPr defaultSize="0" autoFill="0" autoLine="0" autoPict="0">
                <anchor moveWithCells="1">
                  <from>
                    <xdr:col>0</xdr:col>
                    <xdr:colOff>0</xdr:colOff>
                    <xdr:row>303</xdr:row>
                    <xdr:rowOff>182880</xdr:rowOff>
                  </from>
                  <to>
                    <xdr:col>1</xdr:col>
                    <xdr:colOff>68580</xdr:colOff>
                    <xdr:row>305</xdr:row>
                    <xdr:rowOff>22860</xdr:rowOff>
                  </to>
                </anchor>
              </controlPr>
            </control>
          </mc:Choice>
        </mc:AlternateContent>
        <mc:AlternateContent xmlns:mc="http://schemas.openxmlformats.org/markup-compatibility/2006">
          <mc:Choice Requires="x14">
            <control shapeId="4191" r:id="rId68" name="Check Box 95">
              <controlPr defaultSize="0" autoFill="0" autoLine="0" autoPict="0">
                <anchor moveWithCells="1">
                  <from>
                    <xdr:col>2</xdr:col>
                    <xdr:colOff>106680</xdr:colOff>
                    <xdr:row>308</xdr:row>
                    <xdr:rowOff>30480</xdr:rowOff>
                  </from>
                  <to>
                    <xdr:col>4</xdr:col>
                    <xdr:colOff>297180</xdr:colOff>
                    <xdr:row>309</xdr:row>
                    <xdr:rowOff>38100</xdr:rowOff>
                  </to>
                </anchor>
              </controlPr>
            </control>
          </mc:Choice>
        </mc:AlternateContent>
        <mc:AlternateContent xmlns:mc="http://schemas.openxmlformats.org/markup-compatibility/2006">
          <mc:Choice Requires="x14">
            <control shapeId="4192" r:id="rId69" name="Check Box 96">
              <controlPr defaultSize="0" autoFill="0" autoLine="0" autoPict="0">
                <anchor moveWithCells="1">
                  <from>
                    <xdr:col>2</xdr:col>
                    <xdr:colOff>106680</xdr:colOff>
                    <xdr:row>309</xdr:row>
                    <xdr:rowOff>0</xdr:rowOff>
                  </from>
                  <to>
                    <xdr:col>5</xdr:col>
                    <xdr:colOff>144780</xdr:colOff>
                    <xdr:row>310</xdr:row>
                    <xdr:rowOff>60960</xdr:rowOff>
                  </to>
                </anchor>
              </controlPr>
            </control>
          </mc:Choice>
        </mc:AlternateContent>
        <mc:AlternateContent xmlns:mc="http://schemas.openxmlformats.org/markup-compatibility/2006">
          <mc:Choice Requires="x14">
            <control shapeId="4193" r:id="rId70" name="Check Box 97">
              <controlPr defaultSize="0" autoFill="0" autoLine="0" autoPict="0">
                <anchor moveWithCells="1">
                  <from>
                    <xdr:col>1</xdr:col>
                    <xdr:colOff>685800</xdr:colOff>
                    <xdr:row>304</xdr:row>
                    <xdr:rowOff>182880</xdr:rowOff>
                  </from>
                  <to>
                    <xdr:col>2</xdr:col>
                    <xdr:colOff>365760</xdr:colOff>
                    <xdr:row>306</xdr:row>
                    <xdr:rowOff>22860</xdr:rowOff>
                  </to>
                </anchor>
              </controlPr>
            </control>
          </mc:Choice>
        </mc:AlternateContent>
        <mc:AlternateContent xmlns:mc="http://schemas.openxmlformats.org/markup-compatibility/2006">
          <mc:Choice Requires="x14">
            <control shapeId="4194" r:id="rId71" name="Check Box 98">
              <controlPr defaultSize="0" autoFill="0" autoLine="0" autoPict="0">
                <anchor moveWithCells="1">
                  <from>
                    <xdr:col>2</xdr:col>
                    <xdr:colOff>1021080</xdr:colOff>
                    <xdr:row>304</xdr:row>
                    <xdr:rowOff>182880</xdr:rowOff>
                  </from>
                  <to>
                    <xdr:col>3</xdr:col>
                    <xdr:colOff>38100</xdr:colOff>
                    <xdr:row>306</xdr:row>
                    <xdr:rowOff>22860</xdr:rowOff>
                  </to>
                </anchor>
              </controlPr>
            </control>
          </mc:Choice>
        </mc:AlternateContent>
        <mc:AlternateContent xmlns:mc="http://schemas.openxmlformats.org/markup-compatibility/2006">
          <mc:Choice Requires="x14">
            <control shapeId="4195" r:id="rId72" name="Check Box 99">
              <controlPr defaultSize="0" autoFill="0" autoLine="0" autoPict="0">
                <anchor moveWithCells="1">
                  <from>
                    <xdr:col>2</xdr:col>
                    <xdr:colOff>525780</xdr:colOff>
                    <xdr:row>304</xdr:row>
                    <xdr:rowOff>182880</xdr:rowOff>
                  </from>
                  <to>
                    <xdr:col>2</xdr:col>
                    <xdr:colOff>982980</xdr:colOff>
                    <xdr:row>306</xdr:row>
                    <xdr:rowOff>22860</xdr:rowOff>
                  </to>
                </anchor>
              </controlPr>
            </control>
          </mc:Choice>
        </mc:AlternateContent>
        <mc:AlternateContent xmlns:mc="http://schemas.openxmlformats.org/markup-compatibility/2006">
          <mc:Choice Requires="x14">
            <control shapeId="4196" r:id="rId73" name="Check Box 100">
              <controlPr defaultSize="0" autoFill="0" autoLine="0" autoPict="0">
                <anchor moveWithCells="1">
                  <from>
                    <xdr:col>0</xdr:col>
                    <xdr:colOff>0</xdr:colOff>
                    <xdr:row>321</xdr:row>
                    <xdr:rowOff>182880</xdr:rowOff>
                  </from>
                  <to>
                    <xdr:col>1</xdr:col>
                    <xdr:colOff>68580</xdr:colOff>
                    <xdr:row>323</xdr:row>
                    <xdr:rowOff>22860</xdr:rowOff>
                  </to>
                </anchor>
              </controlPr>
            </control>
          </mc:Choice>
        </mc:AlternateContent>
        <mc:AlternateContent xmlns:mc="http://schemas.openxmlformats.org/markup-compatibility/2006">
          <mc:Choice Requires="x14">
            <control shapeId="4197" r:id="rId74" name="Check Box 101">
              <controlPr defaultSize="0" autoFill="0" autoLine="0" autoPict="0">
                <anchor moveWithCells="1">
                  <from>
                    <xdr:col>0</xdr:col>
                    <xdr:colOff>0</xdr:colOff>
                    <xdr:row>346</xdr:row>
                    <xdr:rowOff>152400</xdr:rowOff>
                  </from>
                  <to>
                    <xdr:col>1</xdr:col>
                    <xdr:colOff>68580</xdr:colOff>
                    <xdr:row>348</xdr:row>
                    <xdr:rowOff>7620</xdr:rowOff>
                  </to>
                </anchor>
              </controlPr>
            </control>
          </mc:Choice>
        </mc:AlternateContent>
        <mc:AlternateContent xmlns:mc="http://schemas.openxmlformats.org/markup-compatibility/2006">
          <mc:Choice Requires="x14">
            <control shapeId="4198" r:id="rId75" name="Check Box 102">
              <controlPr defaultSize="0" autoFill="0" autoLine="0" autoPict="0">
                <anchor moveWithCells="1">
                  <from>
                    <xdr:col>0</xdr:col>
                    <xdr:colOff>0</xdr:colOff>
                    <xdr:row>357</xdr:row>
                    <xdr:rowOff>182880</xdr:rowOff>
                  </from>
                  <to>
                    <xdr:col>1</xdr:col>
                    <xdr:colOff>68580</xdr:colOff>
                    <xdr:row>359</xdr:row>
                    <xdr:rowOff>45720</xdr:rowOff>
                  </to>
                </anchor>
              </controlPr>
            </control>
          </mc:Choice>
        </mc:AlternateContent>
        <mc:AlternateContent xmlns:mc="http://schemas.openxmlformats.org/markup-compatibility/2006">
          <mc:Choice Requires="x14">
            <control shapeId="4200" r:id="rId76" name="Check Box 104">
              <controlPr defaultSize="0" autoFill="0" autoLine="0" autoPict="0">
                <anchor moveWithCells="1">
                  <from>
                    <xdr:col>0</xdr:col>
                    <xdr:colOff>0</xdr:colOff>
                    <xdr:row>569</xdr:row>
                    <xdr:rowOff>30480</xdr:rowOff>
                  </from>
                  <to>
                    <xdr:col>1</xdr:col>
                    <xdr:colOff>68580</xdr:colOff>
                    <xdr:row>569</xdr:row>
                    <xdr:rowOff>259080</xdr:rowOff>
                  </to>
                </anchor>
              </controlPr>
            </control>
          </mc:Choice>
        </mc:AlternateContent>
        <mc:AlternateContent xmlns:mc="http://schemas.openxmlformats.org/markup-compatibility/2006">
          <mc:Choice Requires="x14">
            <control shapeId="4201" r:id="rId77" name="Check Box 105">
              <controlPr defaultSize="0" autoFill="0" autoLine="0" autoPict="0">
                <anchor moveWithCells="1">
                  <from>
                    <xdr:col>2</xdr:col>
                    <xdr:colOff>182880</xdr:colOff>
                    <xdr:row>579</xdr:row>
                    <xdr:rowOff>0</xdr:rowOff>
                  </from>
                  <to>
                    <xdr:col>3</xdr:col>
                    <xdr:colOff>449580</xdr:colOff>
                    <xdr:row>580</xdr:row>
                    <xdr:rowOff>30480</xdr:rowOff>
                  </to>
                </anchor>
              </controlPr>
            </control>
          </mc:Choice>
        </mc:AlternateContent>
        <mc:AlternateContent xmlns:mc="http://schemas.openxmlformats.org/markup-compatibility/2006">
          <mc:Choice Requires="x14">
            <control shapeId="4202" r:id="rId78" name="Check Box 106">
              <controlPr defaultSize="0" autoFill="0" autoLine="0" autoPict="0">
                <anchor moveWithCells="1">
                  <from>
                    <xdr:col>2</xdr:col>
                    <xdr:colOff>182880</xdr:colOff>
                    <xdr:row>580</xdr:row>
                    <xdr:rowOff>0</xdr:rowOff>
                  </from>
                  <to>
                    <xdr:col>3</xdr:col>
                    <xdr:colOff>449580</xdr:colOff>
                    <xdr:row>581</xdr:row>
                    <xdr:rowOff>30480</xdr:rowOff>
                  </to>
                </anchor>
              </controlPr>
            </control>
          </mc:Choice>
        </mc:AlternateContent>
        <mc:AlternateContent xmlns:mc="http://schemas.openxmlformats.org/markup-compatibility/2006">
          <mc:Choice Requires="x14">
            <control shapeId="4203" r:id="rId79" name="Check Box 107">
              <controlPr defaultSize="0" autoFill="0" autoLine="0" autoPict="0">
                <anchor moveWithCells="1">
                  <from>
                    <xdr:col>0</xdr:col>
                    <xdr:colOff>0</xdr:colOff>
                    <xdr:row>589</xdr:row>
                    <xdr:rowOff>30480</xdr:rowOff>
                  </from>
                  <to>
                    <xdr:col>1</xdr:col>
                    <xdr:colOff>68580</xdr:colOff>
                    <xdr:row>589</xdr:row>
                    <xdr:rowOff>259080</xdr:rowOff>
                  </to>
                </anchor>
              </controlPr>
            </control>
          </mc:Choice>
        </mc:AlternateContent>
        <mc:AlternateContent xmlns:mc="http://schemas.openxmlformats.org/markup-compatibility/2006">
          <mc:Choice Requires="x14">
            <control shapeId="4204" r:id="rId80" name="Check Box 108">
              <controlPr defaultSize="0" autoFill="0" autoLine="0" autoPict="0">
                <anchor moveWithCells="1">
                  <from>
                    <xdr:col>0</xdr:col>
                    <xdr:colOff>0</xdr:colOff>
                    <xdr:row>591</xdr:row>
                    <xdr:rowOff>182880</xdr:rowOff>
                  </from>
                  <to>
                    <xdr:col>1</xdr:col>
                    <xdr:colOff>68580</xdr:colOff>
                    <xdr:row>593</xdr:row>
                    <xdr:rowOff>30480</xdr:rowOff>
                  </to>
                </anchor>
              </controlPr>
            </control>
          </mc:Choice>
        </mc:AlternateContent>
        <mc:AlternateContent xmlns:mc="http://schemas.openxmlformats.org/markup-compatibility/2006">
          <mc:Choice Requires="x14">
            <control shapeId="4205" r:id="rId81" name="Check Box 109">
              <controlPr defaultSize="0" autoFill="0" autoLine="0" autoPict="0">
                <anchor moveWithCells="1">
                  <from>
                    <xdr:col>0</xdr:col>
                    <xdr:colOff>0</xdr:colOff>
                    <xdr:row>606</xdr:row>
                    <xdr:rowOff>182880</xdr:rowOff>
                  </from>
                  <to>
                    <xdr:col>1</xdr:col>
                    <xdr:colOff>68580</xdr:colOff>
                    <xdr:row>608</xdr:row>
                    <xdr:rowOff>30480</xdr:rowOff>
                  </to>
                </anchor>
              </controlPr>
            </control>
          </mc:Choice>
        </mc:AlternateContent>
        <mc:AlternateContent xmlns:mc="http://schemas.openxmlformats.org/markup-compatibility/2006">
          <mc:Choice Requires="x14">
            <control shapeId="4206" r:id="rId82" name="Check Box 110">
              <controlPr defaultSize="0" autoFill="0" autoLine="0" autoPict="0">
                <anchor moveWithCells="1">
                  <from>
                    <xdr:col>2</xdr:col>
                    <xdr:colOff>228600</xdr:colOff>
                    <xdr:row>626</xdr:row>
                    <xdr:rowOff>30480</xdr:rowOff>
                  </from>
                  <to>
                    <xdr:col>3</xdr:col>
                    <xdr:colOff>373380</xdr:colOff>
                    <xdr:row>627</xdr:row>
                    <xdr:rowOff>38100</xdr:rowOff>
                  </to>
                </anchor>
              </controlPr>
            </control>
          </mc:Choice>
        </mc:AlternateContent>
        <mc:AlternateContent xmlns:mc="http://schemas.openxmlformats.org/markup-compatibility/2006">
          <mc:Choice Requires="x14">
            <control shapeId="4207" r:id="rId83" name="Check Box 111">
              <controlPr defaultSize="0" autoFill="0" autoLine="0" autoPict="0">
                <anchor moveWithCells="1">
                  <from>
                    <xdr:col>2</xdr:col>
                    <xdr:colOff>228600</xdr:colOff>
                    <xdr:row>627</xdr:row>
                    <xdr:rowOff>0</xdr:rowOff>
                  </from>
                  <to>
                    <xdr:col>3</xdr:col>
                    <xdr:colOff>495300</xdr:colOff>
                    <xdr:row>628</xdr:row>
                    <xdr:rowOff>30480</xdr:rowOff>
                  </to>
                </anchor>
              </controlPr>
            </control>
          </mc:Choice>
        </mc:AlternateContent>
        <mc:AlternateContent xmlns:mc="http://schemas.openxmlformats.org/markup-compatibility/2006">
          <mc:Choice Requires="x14">
            <control shapeId="4208" r:id="rId84" name="Check Box 112">
              <controlPr defaultSize="0" autoFill="0" autoLine="0" autoPict="0">
                <anchor moveWithCells="1">
                  <from>
                    <xdr:col>2</xdr:col>
                    <xdr:colOff>228600</xdr:colOff>
                    <xdr:row>627</xdr:row>
                    <xdr:rowOff>182880</xdr:rowOff>
                  </from>
                  <to>
                    <xdr:col>4</xdr:col>
                    <xdr:colOff>144780</xdr:colOff>
                    <xdr:row>629</xdr:row>
                    <xdr:rowOff>22860</xdr:rowOff>
                  </to>
                </anchor>
              </controlPr>
            </control>
          </mc:Choice>
        </mc:AlternateContent>
        <mc:AlternateContent xmlns:mc="http://schemas.openxmlformats.org/markup-compatibility/2006">
          <mc:Choice Requires="x14">
            <control shapeId="4209" r:id="rId85" name="Check Box 113">
              <controlPr defaultSize="0" autoFill="0" autoLine="0" autoPict="0">
                <anchor moveWithCells="1">
                  <from>
                    <xdr:col>2</xdr:col>
                    <xdr:colOff>228600</xdr:colOff>
                    <xdr:row>629</xdr:row>
                    <xdr:rowOff>30480</xdr:rowOff>
                  </from>
                  <to>
                    <xdr:col>3</xdr:col>
                    <xdr:colOff>495300</xdr:colOff>
                    <xdr:row>630</xdr:row>
                    <xdr:rowOff>38100</xdr:rowOff>
                  </to>
                </anchor>
              </controlPr>
            </control>
          </mc:Choice>
        </mc:AlternateContent>
        <mc:AlternateContent xmlns:mc="http://schemas.openxmlformats.org/markup-compatibility/2006">
          <mc:Choice Requires="x14">
            <control shapeId="4210" r:id="rId86" name="Check Box 114">
              <controlPr defaultSize="0" autoFill="0" autoLine="0" autoPict="0">
                <anchor moveWithCells="1">
                  <from>
                    <xdr:col>0</xdr:col>
                    <xdr:colOff>0</xdr:colOff>
                    <xdr:row>622</xdr:row>
                    <xdr:rowOff>30480</xdr:rowOff>
                  </from>
                  <to>
                    <xdr:col>1</xdr:col>
                    <xdr:colOff>68580</xdr:colOff>
                    <xdr:row>622</xdr:row>
                    <xdr:rowOff>259080</xdr:rowOff>
                  </to>
                </anchor>
              </controlPr>
            </control>
          </mc:Choice>
        </mc:AlternateContent>
        <mc:AlternateContent xmlns:mc="http://schemas.openxmlformats.org/markup-compatibility/2006">
          <mc:Choice Requires="x14">
            <control shapeId="4211" r:id="rId87" name="Check Box 115">
              <controlPr defaultSize="0" autoFill="0" autoLine="0" autoPict="0">
                <anchor moveWithCells="1">
                  <from>
                    <xdr:col>2</xdr:col>
                    <xdr:colOff>220980</xdr:colOff>
                    <xdr:row>643</xdr:row>
                    <xdr:rowOff>30480</xdr:rowOff>
                  </from>
                  <to>
                    <xdr:col>3</xdr:col>
                    <xdr:colOff>563880</xdr:colOff>
                    <xdr:row>644</xdr:row>
                    <xdr:rowOff>38100</xdr:rowOff>
                  </to>
                </anchor>
              </controlPr>
            </control>
          </mc:Choice>
        </mc:AlternateContent>
        <mc:AlternateContent xmlns:mc="http://schemas.openxmlformats.org/markup-compatibility/2006">
          <mc:Choice Requires="x14">
            <control shapeId="4212" r:id="rId88" name="Check Box 116">
              <controlPr defaultSize="0" autoFill="0" autoLine="0" autoPict="0">
                <anchor moveWithCells="1">
                  <from>
                    <xdr:col>2</xdr:col>
                    <xdr:colOff>220980</xdr:colOff>
                    <xdr:row>643</xdr:row>
                    <xdr:rowOff>182880</xdr:rowOff>
                  </from>
                  <to>
                    <xdr:col>3</xdr:col>
                    <xdr:colOff>563880</xdr:colOff>
                    <xdr:row>645</xdr:row>
                    <xdr:rowOff>22860</xdr:rowOff>
                  </to>
                </anchor>
              </controlPr>
            </control>
          </mc:Choice>
        </mc:AlternateContent>
        <mc:AlternateContent xmlns:mc="http://schemas.openxmlformats.org/markup-compatibility/2006">
          <mc:Choice Requires="x14">
            <control shapeId="4213" r:id="rId89" name="Check Box 117">
              <controlPr defaultSize="0" autoFill="0" autoLine="0" autoPict="0">
                <anchor moveWithCells="1">
                  <from>
                    <xdr:col>2</xdr:col>
                    <xdr:colOff>220980</xdr:colOff>
                    <xdr:row>650</xdr:row>
                    <xdr:rowOff>152400</xdr:rowOff>
                  </from>
                  <to>
                    <xdr:col>3</xdr:col>
                    <xdr:colOff>563880</xdr:colOff>
                    <xdr:row>651</xdr:row>
                    <xdr:rowOff>182880</xdr:rowOff>
                  </to>
                </anchor>
              </controlPr>
            </control>
          </mc:Choice>
        </mc:AlternateContent>
        <mc:AlternateContent xmlns:mc="http://schemas.openxmlformats.org/markup-compatibility/2006">
          <mc:Choice Requires="x14">
            <control shapeId="4214" r:id="rId90" name="Check Box 118">
              <controlPr defaultSize="0" autoFill="0" autoLine="0" autoPict="0">
                <anchor moveWithCells="1">
                  <from>
                    <xdr:col>2</xdr:col>
                    <xdr:colOff>220980</xdr:colOff>
                    <xdr:row>651</xdr:row>
                    <xdr:rowOff>144780</xdr:rowOff>
                  </from>
                  <to>
                    <xdr:col>3</xdr:col>
                    <xdr:colOff>563880</xdr:colOff>
                    <xdr:row>652</xdr:row>
                    <xdr:rowOff>152400</xdr:rowOff>
                  </to>
                </anchor>
              </controlPr>
            </control>
          </mc:Choice>
        </mc:AlternateContent>
        <mc:AlternateContent xmlns:mc="http://schemas.openxmlformats.org/markup-compatibility/2006">
          <mc:Choice Requires="x14">
            <control shapeId="4217" r:id="rId91" name="Check Box 121">
              <controlPr defaultSize="0" autoFill="0" autoLine="0" autoPict="0">
                <anchor moveWithCells="1">
                  <from>
                    <xdr:col>2</xdr:col>
                    <xdr:colOff>220980</xdr:colOff>
                    <xdr:row>645</xdr:row>
                    <xdr:rowOff>144780</xdr:rowOff>
                  </from>
                  <to>
                    <xdr:col>3</xdr:col>
                    <xdr:colOff>563880</xdr:colOff>
                    <xdr:row>646</xdr:row>
                    <xdr:rowOff>175260</xdr:rowOff>
                  </to>
                </anchor>
              </controlPr>
            </control>
          </mc:Choice>
        </mc:AlternateContent>
        <mc:AlternateContent xmlns:mc="http://schemas.openxmlformats.org/markup-compatibility/2006">
          <mc:Choice Requires="x14">
            <control shapeId="4218" r:id="rId92" name="Check Box 122">
              <controlPr defaultSize="0" autoFill="0" autoLine="0" autoPict="0">
                <anchor moveWithCells="1">
                  <from>
                    <xdr:col>2</xdr:col>
                    <xdr:colOff>220980</xdr:colOff>
                    <xdr:row>649</xdr:row>
                    <xdr:rowOff>182880</xdr:rowOff>
                  </from>
                  <to>
                    <xdr:col>4</xdr:col>
                    <xdr:colOff>190500</xdr:colOff>
                    <xdr:row>651</xdr:row>
                    <xdr:rowOff>22860</xdr:rowOff>
                  </to>
                </anchor>
              </controlPr>
            </control>
          </mc:Choice>
        </mc:AlternateContent>
        <mc:AlternateContent xmlns:mc="http://schemas.openxmlformats.org/markup-compatibility/2006">
          <mc:Choice Requires="x14">
            <control shapeId="4219" r:id="rId93" name="Check Box 123">
              <controlPr defaultSize="0" autoFill="0" autoLine="0" autoPict="0">
                <anchor moveWithCells="1">
                  <from>
                    <xdr:col>2</xdr:col>
                    <xdr:colOff>220980</xdr:colOff>
                    <xdr:row>652</xdr:row>
                    <xdr:rowOff>114300</xdr:rowOff>
                  </from>
                  <to>
                    <xdr:col>3</xdr:col>
                    <xdr:colOff>563880</xdr:colOff>
                    <xdr:row>653</xdr:row>
                    <xdr:rowOff>144780</xdr:rowOff>
                  </to>
                </anchor>
              </controlPr>
            </control>
          </mc:Choice>
        </mc:AlternateContent>
        <mc:AlternateContent xmlns:mc="http://schemas.openxmlformats.org/markup-compatibility/2006">
          <mc:Choice Requires="x14">
            <control shapeId="4220" r:id="rId94" name="Check Box 124">
              <controlPr defaultSize="0" autoFill="0" autoLine="0" autoPict="0">
                <anchor moveWithCells="1">
                  <from>
                    <xdr:col>0</xdr:col>
                    <xdr:colOff>0</xdr:colOff>
                    <xdr:row>640</xdr:row>
                    <xdr:rowOff>30480</xdr:rowOff>
                  </from>
                  <to>
                    <xdr:col>1</xdr:col>
                    <xdr:colOff>68580</xdr:colOff>
                    <xdr:row>640</xdr:row>
                    <xdr:rowOff>259080</xdr:rowOff>
                  </to>
                </anchor>
              </controlPr>
            </control>
          </mc:Choice>
        </mc:AlternateContent>
        <mc:AlternateContent xmlns:mc="http://schemas.openxmlformats.org/markup-compatibility/2006">
          <mc:Choice Requires="x14">
            <control shapeId="4221" r:id="rId95" name="Check Box 125">
              <controlPr defaultSize="0" autoFill="0" autoLine="0" autoPict="0">
                <anchor moveWithCells="1">
                  <from>
                    <xdr:col>0</xdr:col>
                    <xdr:colOff>0</xdr:colOff>
                    <xdr:row>658</xdr:row>
                    <xdr:rowOff>182880</xdr:rowOff>
                  </from>
                  <to>
                    <xdr:col>1</xdr:col>
                    <xdr:colOff>68580</xdr:colOff>
                    <xdr:row>660</xdr:row>
                    <xdr:rowOff>22860</xdr:rowOff>
                  </to>
                </anchor>
              </controlPr>
            </control>
          </mc:Choice>
        </mc:AlternateContent>
        <mc:AlternateContent xmlns:mc="http://schemas.openxmlformats.org/markup-compatibility/2006">
          <mc:Choice Requires="x14">
            <control shapeId="4222" r:id="rId96" name="Check Box 126">
              <controlPr defaultSize="0" autoFill="0" autoLine="0" autoPict="0">
                <anchor moveWithCells="1">
                  <from>
                    <xdr:col>0</xdr:col>
                    <xdr:colOff>0</xdr:colOff>
                    <xdr:row>670</xdr:row>
                    <xdr:rowOff>182880</xdr:rowOff>
                  </from>
                  <to>
                    <xdr:col>1</xdr:col>
                    <xdr:colOff>68580</xdr:colOff>
                    <xdr:row>672</xdr:row>
                    <xdr:rowOff>22860</xdr:rowOff>
                  </to>
                </anchor>
              </controlPr>
            </control>
          </mc:Choice>
        </mc:AlternateContent>
        <mc:AlternateContent xmlns:mc="http://schemas.openxmlformats.org/markup-compatibility/2006">
          <mc:Choice Requires="x14">
            <control shapeId="4223" r:id="rId97" name="Check Box 127">
              <controlPr defaultSize="0" autoFill="0" autoLine="0" autoPict="0">
                <anchor moveWithCells="1">
                  <from>
                    <xdr:col>0</xdr:col>
                    <xdr:colOff>0</xdr:colOff>
                    <xdr:row>682</xdr:row>
                    <xdr:rowOff>182880</xdr:rowOff>
                  </from>
                  <to>
                    <xdr:col>1</xdr:col>
                    <xdr:colOff>68580</xdr:colOff>
                    <xdr:row>684</xdr:row>
                    <xdr:rowOff>22860</xdr:rowOff>
                  </to>
                </anchor>
              </controlPr>
            </control>
          </mc:Choice>
        </mc:AlternateContent>
        <mc:AlternateContent xmlns:mc="http://schemas.openxmlformats.org/markup-compatibility/2006">
          <mc:Choice Requires="x14">
            <control shapeId="4224" r:id="rId98" name="Check Box 128">
              <controlPr defaultSize="0" autoFill="0" autoLine="0" autoPict="0">
                <anchor moveWithCells="1">
                  <from>
                    <xdr:col>0</xdr:col>
                    <xdr:colOff>0</xdr:colOff>
                    <xdr:row>694</xdr:row>
                    <xdr:rowOff>182880</xdr:rowOff>
                  </from>
                  <to>
                    <xdr:col>1</xdr:col>
                    <xdr:colOff>68580</xdr:colOff>
                    <xdr:row>696</xdr:row>
                    <xdr:rowOff>22860</xdr:rowOff>
                  </to>
                </anchor>
              </controlPr>
            </control>
          </mc:Choice>
        </mc:AlternateContent>
        <mc:AlternateContent xmlns:mc="http://schemas.openxmlformats.org/markup-compatibility/2006">
          <mc:Choice Requires="x14">
            <control shapeId="4225" r:id="rId99" name="Check Box 129">
              <controlPr defaultSize="0" autoFill="0" autoLine="0" autoPict="0">
                <anchor moveWithCells="1">
                  <from>
                    <xdr:col>0</xdr:col>
                    <xdr:colOff>0</xdr:colOff>
                    <xdr:row>708</xdr:row>
                    <xdr:rowOff>30480</xdr:rowOff>
                  </from>
                  <to>
                    <xdr:col>1</xdr:col>
                    <xdr:colOff>68580</xdr:colOff>
                    <xdr:row>708</xdr:row>
                    <xdr:rowOff>259080</xdr:rowOff>
                  </to>
                </anchor>
              </controlPr>
            </control>
          </mc:Choice>
        </mc:AlternateContent>
        <mc:AlternateContent xmlns:mc="http://schemas.openxmlformats.org/markup-compatibility/2006">
          <mc:Choice Requires="x14">
            <control shapeId="4226" r:id="rId100" name="Check Box 130">
              <controlPr defaultSize="0" autoFill="0" autoLine="0" autoPict="0">
                <anchor moveWithCells="1">
                  <from>
                    <xdr:col>0</xdr:col>
                    <xdr:colOff>0</xdr:colOff>
                    <xdr:row>719</xdr:row>
                    <xdr:rowOff>182880</xdr:rowOff>
                  </from>
                  <to>
                    <xdr:col>1</xdr:col>
                    <xdr:colOff>68580</xdr:colOff>
                    <xdr:row>721</xdr:row>
                    <xdr:rowOff>38100</xdr:rowOff>
                  </to>
                </anchor>
              </controlPr>
            </control>
          </mc:Choice>
        </mc:AlternateContent>
        <mc:AlternateContent xmlns:mc="http://schemas.openxmlformats.org/markup-compatibility/2006">
          <mc:Choice Requires="x14">
            <control shapeId="4227" r:id="rId101" name="Check Box 131">
              <controlPr defaultSize="0" autoFill="0" autoLine="0" autoPict="0">
                <anchor moveWithCells="1">
                  <from>
                    <xdr:col>0</xdr:col>
                    <xdr:colOff>0</xdr:colOff>
                    <xdr:row>734</xdr:row>
                    <xdr:rowOff>182880</xdr:rowOff>
                  </from>
                  <to>
                    <xdr:col>1</xdr:col>
                    <xdr:colOff>68580</xdr:colOff>
                    <xdr:row>736</xdr:row>
                    <xdr:rowOff>30480</xdr:rowOff>
                  </to>
                </anchor>
              </controlPr>
            </control>
          </mc:Choice>
        </mc:AlternateContent>
        <mc:AlternateContent xmlns:mc="http://schemas.openxmlformats.org/markup-compatibility/2006">
          <mc:Choice Requires="x14">
            <control shapeId="4228" r:id="rId102" name="Check Box 132">
              <controlPr defaultSize="0" autoFill="0" autoLine="0" autoPict="0">
                <anchor moveWithCells="1">
                  <from>
                    <xdr:col>0</xdr:col>
                    <xdr:colOff>0</xdr:colOff>
                    <xdr:row>745</xdr:row>
                    <xdr:rowOff>182880</xdr:rowOff>
                  </from>
                  <to>
                    <xdr:col>1</xdr:col>
                    <xdr:colOff>68580</xdr:colOff>
                    <xdr:row>747</xdr:row>
                    <xdr:rowOff>38100</xdr:rowOff>
                  </to>
                </anchor>
              </controlPr>
            </control>
          </mc:Choice>
        </mc:AlternateContent>
        <mc:AlternateContent xmlns:mc="http://schemas.openxmlformats.org/markup-compatibility/2006">
          <mc:Choice Requires="x14">
            <control shapeId="4230" r:id="rId103" name="Check Box 134">
              <controlPr defaultSize="0" autoFill="0" autoLine="0" autoPict="0">
                <anchor moveWithCells="1">
                  <from>
                    <xdr:col>2</xdr:col>
                    <xdr:colOff>114300</xdr:colOff>
                    <xdr:row>773</xdr:row>
                    <xdr:rowOff>182880</xdr:rowOff>
                  </from>
                  <to>
                    <xdr:col>3</xdr:col>
                    <xdr:colOff>563880</xdr:colOff>
                    <xdr:row>775</xdr:row>
                    <xdr:rowOff>22860</xdr:rowOff>
                  </to>
                </anchor>
              </controlPr>
            </control>
          </mc:Choice>
        </mc:AlternateContent>
        <mc:AlternateContent xmlns:mc="http://schemas.openxmlformats.org/markup-compatibility/2006">
          <mc:Choice Requires="x14">
            <control shapeId="4231" r:id="rId104" name="Check Box 135">
              <controlPr defaultSize="0" autoFill="0" autoLine="0" autoPict="0">
                <anchor moveWithCells="1">
                  <from>
                    <xdr:col>2</xdr:col>
                    <xdr:colOff>144780</xdr:colOff>
                    <xdr:row>799</xdr:row>
                    <xdr:rowOff>182880</xdr:rowOff>
                  </from>
                  <to>
                    <xdr:col>3</xdr:col>
                    <xdr:colOff>38100</xdr:colOff>
                    <xdr:row>801</xdr:row>
                    <xdr:rowOff>22860</xdr:rowOff>
                  </to>
                </anchor>
              </controlPr>
            </control>
          </mc:Choice>
        </mc:AlternateContent>
        <mc:AlternateContent xmlns:mc="http://schemas.openxmlformats.org/markup-compatibility/2006">
          <mc:Choice Requires="x14">
            <control shapeId="4232" r:id="rId105" name="Check Box 136">
              <controlPr defaultSize="0" autoFill="0" autoLine="0" autoPict="0">
                <anchor moveWithCells="1">
                  <from>
                    <xdr:col>2</xdr:col>
                    <xdr:colOff>144780</xdr:colOff>
                    <xdr:row>800</xdr:row>
                    <xdr:rowOff>152400</xdr:rowOff>
                  </from>
                  <to>
                    <xdr:col>3</xdr:col>
                    <xdr:colOff>601980</xdr:colOff>
                    <xdr:row>801</xdr:row>
                    <xdr:rowOff>182880</xdr:rowOff>
                  </to>
                </anchor>
              </controlPr>
            </control>
          </mc:Choice>
        </mc:AlternateContent>
        <mc:AlternateContent xmlns:mc="http://schemas.openxmlformats.org/markup-compatibility/2006">
          <mc:Choice Requires="x14">
            <control shapeId="4233" r:id="rId106" name="Check Box 137">
              <controlPr defaultSize="0" autoFill="0" autoLine="0" autoPict="0">
                <anchor moveWithCells="1">
                  <from>
                    <xdr:col>2</xdr:col>
                    <xdr:colOff>144780</xdr:colOff>
                    <xdr:row>798</xdr:row>
                    <xdr:rowOff>182880</xdr:rowOff>
                  </from>
                  <to>
                    <xdr:col>3</xdr:col>
                    <xdr:colOff>68580</xdr:colOff>
                    <xdr:row>800</xdr:row>
                    <xdr:rowOff>30480</xdr:rowOff>
                  </to>
                </anchor>
              </controlPr>
            </control>
          </mc:Choice>
        </mc:AlternateContent>
        <mc:AlternateContent xmlns:mc="http://schemas.openxmlformats.org/markup-compatibility/2006">
          <mc:Choice Requires="x14">
            <control shapeId="4234" r:id="rId107" name="Check Box 138">
              <controlPr defaultSize="0" autoFill="0" autoLine="0" autoPict="0">
                <anchor moveWithCells="1">
                  <from>
                    <xdr:col>2</xdr:col>
                    <xdr:colOff>144780</xdr:colOff>
                    <xdr:row>823</xdr:row>
                    <xdr:rowOff>182880</xdr:rowOff>
                  </from>
                  <to>
                    <xdr:col>2</xdr:col>
                    <xdr:colOff>1478280</xdr:colOff>
                    <xdr:row>825</xdr:row>
                    <xdr:rowOff>22860</xdr:rowOff>
                  </to>
                </anchor>
              </controlPr>
            </control>
          </mc:Choice>
        </mc:AlternateContent>
        <mc:AlternateContent xmlns:mc="http://schemas.openxmlformats.org/markup-compatibility/2006">
          <mc:Choice Requires="x14">
            <control shapeId="4235" r:id="rId108" name="Check Box 139">
              <controlPr defaultSize="0" autoFill="0" autoLine="0" autoPict="0">
                <anchor moveWithCells="1">
                  <from>
                    <xdr:col>2</xdr:col>
                    <xdr:colOff>144780</xdr:colOff>
                    <xdr:row>824</xdr:row>
                    <xdr:rowOff>182880</xdr:rowOff>
                  </from>
                  <to>
                    <xdr:col>3</xdr:col>
                    <xdr:colOff>190500</xdr:colOff>
                    <xdr:row>826</xdr:row>
                    <xdr:rowOff>22860</xdr:rowOff>
                  </to>
                </anchor>
              </controlPr>
            </control>
          </mc:Choice>
        </mc:AlternateContent>
        <mc:AlternateContent xmlns:mc="http://schemas.openxmlformats.org/markup-compatibility/2006">
          <mc:Choice Requires="x14">
            <control shapeId="4236" r:id="rId109" name="Check Box 140">
              <controlPr defaultSize="0" autoFill="0" autoLine="0" autoPict="0">
                <anchor moveWithCells="1">
                  <from>
                    <xdr:col>0</xdr:col>
                    <xdr:colOff>0</xdr:colOff>
                    <xdr:row>768</xdr:row>
                    <xdr:rowOff>30480</xdr:rowOff>
                  </from>
                  <to>
                    <xdr:col>1</xdr:col>
                    <xdr:colOff>68580</xdr:colOff>
                    <xdr:row>768</xdr:row>
                    <xdr:rowOff>259080</xdr:rowOff>
                  </to>
                </anchor>
              </controlPr>
            </control>
          </mc:Choice>
        </mc:AlternateContent>
        <mc:AlternateContent xmlns:mc="http://schemas.openxmlformats.org/markup-compatibility/2006">
          <mc:Choice Requires="x14">
            <control shapeId="4237" r:id="rId110" name="Check Box 141">
              <controlPr defaultSize="0" autoFill="0" autoLine="0" autoPict="0">
                <anchor moveWithCells="1">
                  <from>
                    <xdr:col>0</xdr:col>
                    <xdr:colOff>0</xdr:colOff>
                    <xdr:row>769</xdr:row>
                    <xdr:rowOff>182880</xdr:rowOff>
                  </from>
                  <to>
                    <xdr:col>1</xdr:col>
                    <xdr:colOff>68580</xdr:colOff>
                    <xdr:row>771</xdr:row>
                    <xdr:rowOff>22860</xdr:rowOff>
                  </to>
                </anchor>
              </controlPr>
            </control>
          </mc:Choice>
        </mc:AlternateContent>
        <mc:AlternateContent xmlns:mc="http://schemas.openxmlformats.org/markup-compatibility/2006">
          <mc:Choice Requires="x14">
            <control shapeId="4238" r:id="rId111" name="Check Box 142">
              <controlPr defaultSize="0" autoFill="0" autoLine="0" autoPict="0">
                <anchor moveWithCells="1">
                  <from>
                    <xdr:col>0</xdr:col>
                    <xdr:colOff>0</xdr:colOff>
                    <xdr:row>795</xdr:row>
                    <xdr:rowOff>182880</xdr:rowOff>
                  </from>
                  <to>
                    <xdr:col>1</xdr:col>
                    <xdr:colOff>68580</xdr:colOff>
                    <xdr:row>797</xdr:row>
                    <xdr:rowOff>22860</xdr:rowOff>
                  </to>
                </anchor>
              </controlPr>
            </control>
          </mc:Choice>
        </mc:AlternateContent>
        <mc:AlternateContent xmlns:mc="http://schemas.openxmlformats.org/markup-compatibility/2006">
          <mc:Choice Requires="x14">
            <control shapeId="4239" r:id="rId112" name="Check Box 143">
              <controlPr defaultSize="0" autoFill="0" autoLine="0" autoPict="0">
                <anchor moveWithCells="1">
                  <from>
                    <xdr:col>0</xdr:col>
                    <xdr:colOff>0</xdr:colOff>
                    <xdr:row>820</xdr:row>
                    <xdr:rowOff>182880</xdr:rowOff>
                  </from>
                  <to>
                    <xdr:col>1</xdr:col>
                    <xdr:colOff>68580</xdr:colOff>
                    <xdr:row>822</xdr:row>
                    <xdr:rowOff>22860</xdr:rowOff>
                  </to>
                </anchor>
              </controlPr>
            </control>
          </mc:Choice>
        </mc:AlternateContent>
        <mc:AlternateContent xmlns:mc="http://schemas.openxmlformats.org/markup-compatibility/2006">
          <mc:Choice Requires="x14">
            <control shapeId="4240" r:id="rId113" name="Check Box 144">
              <controlPr defaultSize="0" autoFill="0" autoLine="0" autoPict="0">
                <anchor moveWithCells="1">
                  <from>
                    <xdr:col>0</xdr:col>
                    <xdr:colOff>0</xdr:colOff>
                    <xdr:row>537</xdr:row>
                    <xdr:rowOff>30480</xdr:rowOff>
                  </from>
                  <to>
                    <xdr:col>1</xdr:col>
                    <xdr:colOff>68580</xdr:colOff>
                    <xdr:row>538</xdr:row>
                    <xdr:rowOff>38100</xdr:rowOff>
                  </to>
                </anchor>
              </controlPr>
            </control>
          </mc:Choice>
        </mc:AlternateContent>
        <mc:AlternateContent xmlns:mc="http://schemas.openxmlformats.org/markup-compatibility/2006">
          <mc:Choice Requires="x14">
            <control shapeId="4241" r:id="rId114" name="Check Box 145">
              <controlPr defaultSize="0" autoFill="0" autoLine="0" autoPict="0">
                <anchor moveWithCells="1">
                  <from>
                    <xdr:col>0</xdr:col>
                    <xdr:colOff>0</xdr:colOff>
                    <xdr:row>543</xdr:row>
                    <xdr:rowOff>190500</xdr:rowOff>
                  </from>
                  <to>
                    <xdr:col>1</xdr:col>
                    <xdr:colOff>68580</xdr:colOff>
                    <xdr:row>545</xdr:row>
                    <xdr:rowOff>30480</xdr:rowOff>
                  </to>
                </anchor>
              </controlPr>
            </control>
          </mc:Choice>
        </mc:AlternateContent>
        <mc:AlternateContent xmlns:mc="http://schemas.openxmlformats.org/markup-compatibility/2006">
          <mc:Choice Requires="x14">
            <control shapeId="4242" r:id="rId115" name="Check Box 146">
              <controlPr defaultSize="0" autoFill="0" autoLine="0" autoPict="0">
                <anchor moveWithCells="1">
                  <from>
                    <xdr:col>0</xdr:col>
                    <xdr:colOff>0</xdr:colOff>
                    <xdr:row>556</xdr:row>
                    <xdr:rowOff>30480</xdr:rowOff>
                  </from>
                  <to>
                    <xdr:col>1</xdr:col>
                    <xdr:colOff>68580</xdr:colOff>
                    <xdr:row>557</xdr:row>
                    <xdr:rowOff>38100</xdr:rowOff>
                  </to>
                </anchor>
              </controlPr>
            </control>
          </mc:Choice>
        </mc:AlternateContent>
        <mc:AlternateContent xmlns:mc="http://schemas.openxmlformats.org/markup-compatibility/2006">
          <mc:Choice Requires="x14">
            <control shapeId="4243" r:id="rId116" name="Check Box 147">
              <controlPr defaultSize="0" autoFill="0" autoLine="0" autoPict="0">
                <anchor moveWithCells="1">
                  <from>
                    <xdr:col>2</xdr:col>
                    <xdr:colOff>114300</xdr:colOff>
                    <xdr:row>959</xdr:row>
                    <xdr:rowOff>30480</xdr:rowOff>
                  </from>
                  <to>
                    <xdr:col>5</xdr:col>
                    <xdr:colOff>419100</xdr:colOff>
                    <xdr:row>960</xdr:row>
                    <xdr:rowOff>0</xdr:rowOff>
                  </to>
                </anchor>
              </controlPr>
            </control>
          </mc:Choice>
        </mc:AlternateContent>
        <mc:AlternateContent xmlns:mc="http://schemas.openxmlformats.org/markup-compatibility/2006">
          <mc:Choice Requires="x14">
            <control shapeId="4244" r:id="rId117" name="Check Box 148">
              <controlPr defaultSize="0" autoFill="0" autoLine="0" autoPict="0">
                <anchor moveWithCells="1">
                  <from>
                    <xdr:col>2</xdr:col>
                    <xdr:colOff>114300</xdr:colOff>
                    <xdr:row>960</xdr:row>
                    <xdr:rowOff>0</xdr:rowOff>
                  </from>
                  <to>
                    <xdr:col>5</xdr:col>
                    <xdr:colOff>419100</xdr:colOff>
                    <xdr:row>960</xdr:row>
                    <xdr:rowOff>182880</xdr:rowOff>
                  </to>
                </anchor>
              </controlPr>
            </control>
          </mc:Choice>
        </mc:AlternateContent>
        <mc:AlternateContent xmlns:mc="http://schemas.openxmlformats.org/markup-compatibility/2006">
          <mc:Choice Requires="x14">
            <control shapeId="4245" r:id="rId118" name="Check Box 149">
              <controlPr defaultSize="0" autoFill="0" autoLine="0" autoPict="0">
                <anchor moveWithCells="1">
                  <from>
                    <xdr:col>2</xdr:col>
                    <xdr:colOff>114300</xdr:colOff>
                    <xdr:row>961</xdr:row>
                    <xdr:rowOff>0</xdr:rowOff>
                  </from>
                  <to>
                    <xdr:col>5</xdr:col>
                    <xdr:colOff>419100</xdr:colOff>
                    <xdr:row>961</xdr:row>
                    <xdr:rowOff>182880</xdr:rowOff>
                  </to>
                </anchor>
              </controlPr>
            </control>
          </mc:Choice>
        </mc:AlternateContent>
        <mc:AlternateContent xmlns:mc="http://schemas.openxmlformats.org/markup-compatibility/2006">
          <mc:Choice Requires="x14">
            <control shapeId="4246" r:id="rId119" name="Check Box 150">
              <controlPr defaultSize="0" autoFill="0" autoLine="0" autoPict="0">
                <anchor moveWithCells="1">
                  <from>
                    <xdr:col>2</xdr:col>
                    <xdr:colOff>114300</xdr:colOff>
                    <xdr:row>962</xdr:row>
                    <xdr:rowOff>0</xdr:rowOff>
                  </from>
                  <to>
                    <xdr:col>5</xdr:col>
                    <xdr:colOff>716280</xdr:colOff>
                    <xdr:row>962</xdr:row>
                    <xdr:rowOff>182880</xdr:rowOff>
                  </to>
                </anchor>
              </controlPr>
            </control>
          </mc:Choice>
        </mc:AlternateContent>
        <mc:AlternateContent xmlns:mc="http://schemas.openxmlformats.org/markup-compatibility/2006">
          <mc:Choice Requires="x14">
            <control shapeId="4250" r:id="rId120" name="Check Box 154">
              <controlPr defaultSize="0" autoFill="0" autoLine="0" autoPict="0">
                <anchor moveWithCells="1">
                  <from>
                    <xdr:col>2</xdr:col>
                    <xdr:colOff>114300</xdr:colOff>
                    <xdr:row>912</xdr:row>
                    <xdr:rowOff>30480</xdr:rowOff>
                  </from>
                  <to>
                    <xdr:col>5</xdr:col>
                    <xdr:colOff>419100</xdr:colOff>
                    <xdr:row>913</xdr:row>
                    <xdr:rowOff>0</xdr:rowOff>
                  </to>
                </anchor>
              </controlPr>
            </control>
          </mc:Choice>
        </mc:AlternateContent>
        <mc:AlternateContent xmlns:mc="http://schemas.openxmlformats.org/markup-compatibility/2006">
          <mc:Choice Requires="x14">
            <control shapeId="4251" r:id="rId121" name="Check Box 155">
              <controlPr defaultSize="0" autoFill="0" autoLine="0" autoPict="0">
                <anchor moveWithCells="1">
                  <from>
                    <xdr:col>2</xdr:col>
                    <xdr:colOff>114300</xdr:colOff>
                    <xdr:row>913</xdr:row>
                    <xdr:rowOff>0</xdr:rowOff>
                  </from>
                  <to>
                    <xdr:col>5</xdr:col>
                    <xdr:colOff>419100</xdr:colOff>
                    <xdr:row>913</xdr:row>
                    <xdr:rowOff>182880</xdr:rowOff>
                  </to>
                </anchor>
              </controlPr>
            </control>
          </mc:Choice>
        </mc:AlternateContent>
        <mc:AlternateContent xmlns:mc="http://schemas.openxmlformats.org/markup-compatibility/2006">
          <mc:Choice Requires="x14">
            <control shapeId="4252" r:id="rId122" name="Check Box 156">
              <controlPr defaultSize="0" autoFill="0" autoLine="0" autoPict="0">
                <anchor moveWithCells="1">
                  <from>
                    <xdr:col>2</xdr:col>
                    <xdr:colOff>114300</xdr:colOff>
                    <xdr:row>914</xdr:row>
                    <xdr:rowOff>0</xdr:rowOff>
                  </from>
                  <to>
                    <xdr:col>5</xdr:col>
                    <xdr:colOff>419100</xdr:colOff>
                    <xdr:row>914</xdr:row>
                    <xdr:rowOff>182880</xdr:rowOff>
                  </to>
                </anchor>
              </controlPr>
            </control>
          </mc:Choice>
        </mc:AlternateContent>
        <mc:AlternateContent xmlns:mc="http://schemas.openxmlformats.org/markup-compatibility/2006">
          <mc:Choice Requires="x14">
            <control shapeId="4253" r:id="rId123" name="Check Box 157">
              <controlPr defaultSize="0" autoFill="0" autoLine="0" autoPict="0">
                <anchor moveWithCells="1">
                  <from>
                    <xdr:col>2</xdr:col>
                    <xdr:colOff>114300</xdr:colOff>
                    <xdr:row>915</xdr:row>
                    <xdr:rowOff>0</xdr:rowOff>
                  </from>
                  <to>
                    <xdr:col>5</xdr:col>
                    <xdr:colOff>419100</xdr:colOff>
                    <xdr:row>915</xdr:row>
                    <xdr:rowOff>182880</xdr:rowOff>
                  </to>
                </anchor>
              </controlPr>
            </control>
          </mc:Choice>
        </mc:AlternateContent>
        <mc:AlternateContent xmlns:mc="http://schemas.openxmlformats.org/markup-compatibility/2006">
          <mc:Choice Requires="x14">
            <control shapeId="4254" r:id="rId124" name="Check Box 158">
              <controlPr defaultSize="0" autoFill="0" autoLine="0" autoPict="0">
                <anchor moveWithCells="1">
                  <from>
                    <xdr:col>0</xdr:col>
                    <xdr:colOff>0</xdr:colOff>
                    <xdr:row>841</xdr:row>
                    <xdr:rowOff>30480</xdr:rowOff>
                  </from>
                  <to>
                    <xdr:col>1</xdr:col>
                    <xdr:colOff>68580</xdr:colOff>
                    <xdr:row>841</xdr:row>
                    <xdr:rowOff>259080</xdr:rowOff>
                  </to>
                </anchor>
              </controlPr>
            </control>
          </mc:Choice>
        </mc:AlternateContent>
        <mc:AlternateContent xmlns:mc="http://schemas.openxmlformats.org/markup-compatibility/2006">
          <mc:Choice Requires="x14">
            <control shapeId="4255" r:id="rId125" name="Check Box 159">
              <controlPr defaultSize="0" autoFill="0" autoLine="0" autoPict="0">
                <anchor moveWithCells="1">
                  <from>
                    <xdr:col>0</xdr:col>
                    <xdr:colOff>0</xdr:colOff>
                    <xdr:row>842</xdr:row>
                    <xdr:rowOff>182880</xdr:rowOff>
                  </from>
                  <to>
                    <xdr:col>1</xdr:col>
                    <xdr:colOff>68580</xdr:colOff>
                    <xdr:row>844</xdr:row>
                    <xdr:rowOff>22860</xdr:rowOff>
                  </to>
                </anchor>
              </controlPr>
            </control>
          </mc:Choice>
        </mc:AlternateContent>
        <mc:AlternateContent xmlns:mc="http://schemas.openxmlformats.org/markup-compatibility/2006">
          <mc:Choice Requires="x14">
            <control shapeId="4256" r:id="rId126" name="Check Box 160">
              <controlPr defaultSize="0" autoFill="0" autoLine="0" autoPict="0">
                <anchor moveWithCells="1">
                  <from>
                    <xdr:col>0</xdr:col>
                    <xdr:colOff>0</xdr:colOff>
                    <xdr:row>906</xdr:row>
                    <xdr:rowOff>182880</xdr:rowOff>
                  </from>
                  <to>
                    <xdr:col>1</xdr:col>
                    <xdr:colOff>68580</xdr:colOff>
                    <xdr:row>908</xdr:row>
                    <xdr:rowOff>22860</xdr:rowOff>
                  </to>
                </anchor>
              </controlPr>
            </control>
          </mc:Choice>
        </mc:AlternateContent>
        <mc:AlternateContent xmlns:mc="http://schemas.openxmlformats.org/markup-compatibility/2006">
          <mc:Choice Requires="x14">
            <control shapeId="4257" r:id="rId127" name="Check Box 161">
              <controlPr defaultSize="0" autoFill="0" autoLine="0" autoPict="0">
                <anchor moveWithCells="1">
                  <from>
                    <xdr:col>0</xdr:col>
                    <xdr:colOff>0</xdr:colOff>
                    <xdr:row>953</xdr:row>
                    <xdr:rowOff>182880</xdr:rowOff>
                  </from>
                  <to>
                    <xdr:col>1</xdr:col>
                    <xdr:colOff>68580</xdr:colOff>
                    <xdr:row>955</xdr:row>
                    <xdr:rowOff>38100</xdr:rowOff>
                  </to>
                </anchor>
              </controlPr>
            </control>
          </mc:Choice>
        </mc:AlternateContent>
        <mc:AlternateContent xmlns:mc="http://schemas.openxmlformats.org/markup-compatibility/2006">
          <mc:Choice Requires="x14">
            <control shapeId="4258" r:id="rId128" name="Check Box 162">
              <controlPr defaultSize="0" autoFill="0" autoLine="0" autoPict="0">
                <anchor moveWithCells="1">
                  <from>
                    <xdr:col>0</xdr:col>
                    <xdr:colOff>0</xdr:colOff>
                    <xdr:row>983</xdr:row>
                    <xdr:rowOff>182880</xdr:rowOff>
                  </from>
                  <to>
                    <xdr:col>1</xdr:col>
                    <xdr:colOff>68580</xdr:colOff>
                    <xdr:row>985</xdr:row>
                    <xdr:rowOff>22860</xdr:rowOff>
                  </to>
                </anchor>
              </controlPr>
            </control>
          </mc:Choice>
        </mc:AlternateContent>
        <mc:AlternateContent xmlns:mc="http://schemas.openxmlformats.org/markup-compatibility/2006">
          <mc:Choice Requires="x14">
            <control shapeId="4262" r:id="rId129" name="Check Box 166">
              <controlPr defaultSize="0" autoFill="0" autoLine="0" autoPict="0">
                <anchor moveWithCells="1">
                  <from>
                    <xdr:col>2</xdr:col>
                    <xdr:colOff>114300</xdr:colOff>
                    <xdr:row>381</xdr:row>
                    <xdr:rowOff>30480</xdr:rowOff>
                  </from>
                  <to>
                    <xdr:col>3</xdr:col>
                    <xdr:colOff>335280</xdr:colOff>
                    <xdr:row>382</xdr:row>
                    <xdr:rowOff>30480</xdr:rowOff>
                  </to>
                </anchor>
              </controlPr>
            </control>
          </mc:Choice>
        </mc:AlternateContent>
        <mc:AlternateContent xmlns:mc="http://schemas.openxmlformats.org/markup-compatibility/2006">
          <mc:Choice Requires="x14">
            <control shapeId="4263" r:id="rId130" name="Check Box 167">
              <controlPr defaultSize="0" autoFill="0" autoLine="0" autoPict="0">
                <anchor moveWithCells="1">
                  <from>
                    <xdr:col>2</xdr:col>
                    <xdr:colOff>114300</xdr:colOff>
                    <xdr:row>382</xdr:row>
                    <xdr:rowOff>30480</xdr:rowOff>
                  </from>
                  <to>
                    <xdr:col>3</xdr:col>
                    <xdr:colOff>335280</xdr:colOff>
                    <xdr:row>383</xdr:row>
                    <xdr:rowOff>30480</xdr:rowOff>
                  </to>
                </anchor>
              </controlPr>
            </control>
          </mc:Choice>
        </mc:AlternateContent>
        <mc:AlternateContent xmlns:mc="http://schemas.openxmlformats.org/markup-compatibility/2006">
          <mc:Choice Requires="x14">
            <control shapeId="4264" r:id="rId131" name="Check Box 168">
              <controlPr defaultSize="0" autoFill="0" autoLine="0" autoPict="0">
                <anchor moveWithCells="1">
                  <from>
                    <xdr:col>2</xdr:col>
                    <xdr:colOff>114300</xdr:colOff>
                    <xdr:row>383</xdr:row>
                    <xdr:rowOff>30480</xdr:rowOff>
                  </from>
                  <to>
                    <xdr:col>3</xdr:col>
                    <xdr:colOff>335280</xdr:colOff>
                    <xdr:row>384</xdr:row>
                    <xdr:rowOff>30480</xdr:rowOff>
                  </to>
                </anchor>
              </controlPr>
            </control>
          </mc:Choice>
        </mc:AlternateContent>
        <mc:AlternateContent xmlns:mc="http://schemas.openxmlformats.org/markup-compatibility/2006">
          <mc:Choice Requires="x14">
            <control shapeId="4267" r:id="rId132" name="Check Box 171">
              <controlPr defaultSize="0" autoFill="0" autoLine="0" autoPict="0">
                <anchor moveWithCells="1">
                  <from>
                    <xdr:col>1</xdr:col>
                    <xdr:colOff>182880</xdr:colOff>
                    <xdr:row>377</xdr:row>
                    <xdr:rowOff>0</xdr:rowOff>
                  </from>
                  <to>
                    <xdr:col>1</xdr:col>
                    <xdr:colOff>678180</xdr:colOff>
                    <xdr:row>378</xdr:row>
                    <xdr:rowOff>30480</xdr:rowOff>
                  </to>
                </anchor>
              </controlPr>
            </control>
          </mc:Choice>
        </mc:AlternateContent>
        <mc:AlternateContent xmlns:mc="http://schemas.openxmlformats.org/markup-compatibility/2006">
          <mc:Choice Requires="x14">
            <control shapeId="4268" r:id="rId133" name="Check Box 172">
              <controlPr defaultSize="0" autoFill="0" autoLine="0" autoPict="0">
                <anchor moveWithCells="1">
                  <from>
                    <xdr:col>1</xdr:col>
                    <xdr:colOff>182880</xdr:colOff>
                    <xdr:row>387</xdr:row>
                    <xdr:rowOff>0</xdr:rowOff>
                  </from>
                  <to>
                    <xdr:col>1</xdr:col>
                    <xdr:colOff>678180</xdr:colOff>
                    <xdr:row>388</xdr:row>
                    <xdr:rowOff>30480</xdr:rowOff>
                  </to>
                </anchor>
              </controlPr>
            </control>
          </mc:Choice>
        </mc:AlternateContent>
        <mc:AlternateContent xmlns:mc="http://schemas.openxmlformats.org/markup-compatibility/2006">
          <mc:Choice Requires="x14">
            <control shapeId="4269" r:id="rId134" name="Check Box 173">
              <controlPr defaultSize="0" autoFill="0" autoLine="0" autoPict="0">
                <anchor moveWithCells="1">
                  <from>
                    <xdr:col>1</xdr:col>
                    <xdr:colOff>182880</xdr:colOff>
                    <xdr:row>393</xdr:row>
                    <xdr:rowOff>0</xdr:rowOff>
                  </from>
                  <to>
                    <xdr:col>1</xdr:col>
                    <xdr:colOff>678180</xdr:colOff>
                    <xdr:row>394</xdr:row>
                    <xdr:rowOff>30480</xdr:rowOff>
                  </to>
                </anchor>
              </controlPr>
            </control>
          </mc:Choice>
        </mc:AlternateContent>
        <mc:AlternateContent xmlns:mc="http://schemas.openxmlformats.org/markup-compatibility/2006">
          <mc:Choice Requires="x14">
            <control shapeId="4271" r:id="rId135" name="Check Box 175">
              <controlPr defaultSize="0" autoFill="0" autoLine="0" autoPict="0">
                <anchor moveWithCells="1">
                  <from>
                    <xdr:col>1</xdr:col>
                    <xdr:colOff>182880</xdr:colOff>
                    <xdr:row>410</xdr:row>
                    <xdr:rowOff>0</xdr:rowOff>
                  </from>
                  <to>
                    <xdr:col>1</xdr:col>
                    <xdr:colOff>678180</xdr:colOff>
                    <xdr:row>411</xdr:row>
                    <xdr:rowOff>30480</xdr:rowOff>
                  </to>
                </anchor>
              </controlPr>
            </control>
          </mc:Choice>
        </mc:AlternateContent>
        <mc:AlternateContent xmlns:mc="http://schemas.openxmlformats.org/markup-compatibility/2006">
          <mc:Choice Requires="x14">
            <control shapeId="4270" r:id="rId136" name="Check Box 174">
              <controlPr defaultSize="0" autoFill="0" autoLine="0" autoPict="0">
                <anchor moveWithCells="1">
                  <from>
                    <xdr:col>1</xdr:col>
                    <xdr:colOff>182880</xdr:colOff>
                    <xdr:row>399</xdr:row>
                    <xdr:rowOff>0</xdr:rowOff>
                  </from>
                  <to>
                    <xdr:col>1</xdr:col>
                    <xdr:colOff>678180</xdr:colOff>
                    <xdr:row>400</xdr:row>
                    <xdr:rowOff>30480</xdr:rowOff>
                  </to>
                </anchor>
              </controlPr>
            </control>
          </mc:Choice>
        </mc:AlternateContent>
        <mc:AlternateContent xmlns:mc="http://schemas.openxmlformats.org/markup-compatibility/2006">
          <mc:Choice Requires="x14">
            <control shapeId="4272" r:id="rId137" name="Check Box 176">
              <controlPr defaultSize="0" autoFill="0" autoLine="0" autoPict="0">
                <anchor moveWithCells="1">
                  <from>
                    <xdr:col>1</xdr:col>
                    <xdr:colOff>182880</xdr:colOff>
                    <xdr:row>429</xdr:row>
                    <xdr:rowOff>0</xdr:rowOff>
                  </from>
                  <to>
                    <xdr:col>1</xdr:col>
                    <xdr:colOff>678180</xdr:colOff>
                    <xdr:row>430</xdr:row>
                    <xdr:rowOff>30480</xdr:rowOff>
                  </to>
                </anchor>
              </controlPr>
            </control>
          </mc:Choice>
        </mc:AlternateContent>
        <mc:AlternateContent xmlns:mc="http://schemas.openxmlformats.org/markup-compatibility/2006">
          <mc:Choice Requires="x14">
            <control shapeId="4273" r:id="rId138" name="Check Box 177">
              <controlPr defaultSize="0" autoFill="0" autoLine="0" autoPict="0">
                <anchor moveWithCells="1">
                  <from>
                    <xdr:col>1</xdr:col>
                    <xdr:colOff>182880</xdr:colOff>
                    <xdr:row>435</xdr:row>
                    <xdr:rowOff>0</xdr:rowOff>
                  </from>
                  <to>
                    <xdr:col>1</xdr:col>
                    <xdr:colOff>678180</xdr:colOff>
                    <xdr:row>436</xdr:row>
                    <xdr:rowOff>30480</xdr:rowOff>
                  </to>
                </anchor>
              </controlPr>
            </control>
          </mc:Choice>
        </mc:AlternateContent>
        <mc:AlternateContent xmlns:mc="http://schemas.openxmlformats.org/markup-compatibility/2006">
          <mc:Choice Requires="x14">
            <control shapeId="4274" r:id="rId139" name="Check Box 178">
              <controlPr defaultSize="0" autoFill="0" autoLine="0" autoPict="0">
                <anchor moveWithCells="1">
                  <from>
                    <xdr:col>1</xdr:col>
                    <xdr:colOff>182880</xdr:colOff>
                    <xdr:row>422</xdr:row>
                    <xdr:rowOff>0</xdr:rowOff>
                  </from>
                  <to>
                    <xdr:col>1</xdr:col>
                    <xdr:colOff>678180</xdr:colOff>
                    <xdr:row>423</xdr:row>
                    <xdr:rowOff>30480</xdr:rowOff>
                  </to>
                </anchor>
              </controlPr>
            </control>
          </mc:Choice>
        </mc:AlternateContent>
        <mc:AlternateContent xmlns:mc="http://schemas.openxmlformats.org/markup-compatibility/2006">
          <mc:Choice Requires="x14">
            <control shapeId="4275" r:id="rId140" name="Check Box 179">
              <controlPr defaultSize="0" autoFill="0" autoLine="0" autoPict="0">
                <anchor moveWithCells="1">
                  <from>
                    <xdr:col>2</xdr:col>
                    <xdr:colOff>190500</xdr:colOff>
                    <xdr:row>30</xdr:row>
                    <xdr:rowOff>152400</xdr:rowOff>
                  </from>
                  <to>
                    <xdr:col>2</xdr:col>
                    <xdr:colOff>640080</xdr:colOff>
                    <xdr:row>31</xdr:row>
                    <xdr:rowOff>182880</xdr:rowOff>
                  </to>
                </anchor>
              </controlPr>
            </control>
          </mc:Choice>
        </mc:AlternateContent>
        <mc:AlternateContent xmlns:mc="http://schemas.openxmlformats.org/markup-compatibility/2006">
          <mc:Choice Requires="x14">
            <control shapeId="4276" r:id="rId141" name="Check Box 180">
              <controlPr defaultSize="0" autoFill="0" autoLine="0" autoPict="0">
                <anchor moveWithCells="1">
                  <from>
                    <xdr:col>2</xdr:col>
                    <xdr:colOff>190500</xdr:colOff>
                    <xdr:row>31</xdr:row>
                    <xdr:rowOff>144780</xdr:rowOff>
                  </from>
                  <to>
                    <xdr:col>2</xdr:col>
                    <xdr:colOff>640080</xdr:colOff>
                    <xdr:row>32</xdr:row>
                    <xdr:rowOff>152400</xdr:rowOff>
                  </to>
                </anchor>
              </controlPr>
            </control>
          </mc:Choice>
        </mc:AlternateContent>
        <mc:AlternateContent xmlns:mc="http://schemas.openxmlformats.org/markup-compatibility/2006">
          <mc:Choice Requires="x14">
            <control shapeId="4277" r:id="rId142" name="Check Box 181">
              <controlPr defaultSize="0" autoFill="0" autoLine="0" autoPict="0">
                <anchor moveWithCells="1">
                  <from>
                    <xdr:col>2</xdr:col>
                    <xdr:colOff>190500</xdr:colOff>
                    <xdr:row>26</xdr:row>
                    <xdr:rowOff>182880</xdr:rowOff>
                  </from>
                  <to>
                    <xdr:col>2</xdr:col>
                    <xdr:colOff>640080</xdr:colOff>
                    <xdr:row>28</xdr:row>
                    <xdr:rowOff>0</xdr:rowOff>
                  </to>
                </anchor>
              </controlPr>
            </control>
          </mc:Choice>
        </mc:AlternateContent>
        <mc:AlternateContent xmlns:mc="http://schemas.openxmlformats.org/markup-compatibility/2006">
          <mc:Choice Requires="x14">
            <control shapeId="4278" r:id="rId143" name="Check Box 182">
              <controlPr defaultSize="0" autoFill="0" autoLine="0" autoPict="0">
                <anchor moveWithCells="1">
                  <from>
                    <xdr:col>2</xdr:col>
                    <xdr:colOff>190500</xdr:colOff>
                    <xdr:row>27</xdr:row>
                    <xdr:rowOff>144780</xdr:rowOff>
                  </from>
                  <to>
                    <xdr:col>2</xdr:col>
                    <xdr:colOff>640080</xdr:colOff>
                    <xdr:row>28</xdr:row>
                    <xdr:rowOff>175260</xdr:rowOff>
                  </to>
                </anchor>
              </controlPr>
            </control>
          </mc:Choice>
        </mc:AlternateContent>
        <mc:AlternateContent xmlns:mc="http://schemas.openxmlformats.org/markup-compatibility/2006">
          <mc:Choice Requires="x14">
            <control shapeId="4279" r:id="rId144" name="Check Box 183">
              <controlPr defaultSize="0" autoFill="0" autoLine="0" autoPict="0">
                <anchor moveWithCells="1">
                  <from>
                    <xdr:col>1</xdr:col>
                    <xdr:colOff>144780</xdr:colOff>
                    <xdr:row>447</xdr:row>
                    <xdr:rowOff>0</xdr:rowOff>
                  </from>
                  <to>
                    <xdr:col>1</xdr:col>
                    <xdr:colOff>640080</xdr:colOff>
                    <xdr:row>448</xdr:row>
                    <xdr:rowOff>30480</xdr:rowOff>
                  </to>
                </anchor>
              </controlPr>
            </control>
          </mc:Choice>
        </mc:AlternateContent>
        <mc:AlternateContent xmlns:mc="http://schemas.openxmlformats.org/markup-compatibility/2006">
          <mc:Choice Requires="x14">
            <control shapeId="4280" r:id="rId145" name="Check Box 184">
              <controlPr defaultSize="0" autoFill="0" autoLine="0" autoPict="0">
                <anchor moveWithCells="1">
                  <from>
                    <xdr:col>1</xdr:col>
                    <xdr:colOff>144780</xdr:colOff>
                    <xdr:row>453</xdr:row>
                    <xdr:rowOff>0</xdr:rowOff>
                  </from>
                  <to>
                    <xdr:col>1</xdr:col>
                    <xdr:colOff>640080</xdr:colOff>
                    <xdr:row>454</xdr:row>
                    <xdr:rowOff>30480</xdr:rowOff>
                  </to>
                </anchor>
              </controlPr>
            </control>
          </mc:Choice>
        </mc:AlternateContent>
        <mc:AlternateContent xmlns:mc="http://schemas.openxmlformats.org/markup-compatibility/2006">
          <mc:Choice Requires="x14">
            <control shapeId="4281" r:id="rId146" name="Check Box 185">
              <controlPr defaultSize="0" autoFill="0" autoLine="0" autoPict="0">
                <anchor moveWithCells="1">
                  <from>
                    <xdr:col>1</xdr:col>
                    <xdr:colOff>144780</xdr:colOff>
                    <xdr:row>467</xdr:row>
                    <xdr:rowOff>0</xdr:rowOff>
                  </from>
                  <to>
                    <xdr:col>1</xdr:col>
                    <xdr:colOff>640080</xdr:colOff>
                    <xdr:row>468</xdr:row>
                    <xdr:rowOff>30480</xdr:rowOff>
                  </to>
                </anchor>
              </controlPr>
            </control>
          </mc:Choice>
        </mc:AlternateContent>
        <mc:AlternateContent xmlns:mc="http://schemas.openxmlformats.org/markup-compatibility/2006">
          <mc:Choice Requires="x14">
            <control shapeId="4282" r:id="rId147" name="Check Box 186">
              <controlPr defaultSize="0" autoFill="0" autoLine="0" autoPict="0">
                <anchor moveWithCells="1">
                  <from>
                    <xdr:col>1</xdr:col>
                    <xdr:colOff>144780</xdr:colOff>
                    <xdr:row>480</xdr:row>
                    <xdr:rowOff>0</xdr:rowOff>
                  </from>
                  <to>
                    <xdr:col>1</xdr:col>
                    <xdr:colOff>640080</xdr:colOff>
                    <xdr:row>481</xdr:row>
                    <xdr:rowOff>30480</xdr:rowOff>
                  </to>
                </anchor>
              </controlPr>
            </control>
          </mc:Choice>
        </mc:AlternateContent>
        <mc:AlternateContent xmlns:mc="http://schemas.openxmlformats.org/markup-compatibility/2006">
          <mc:Choice Requires="x14">
            <control shapeId="4283" r:id="rId148" name="Check Box 187">
              <controlPr defaultSize="0" autoFill="0" autoLine="0" autoPict="0">
                <anchor moveWithCells="1">
                  <from>
                    <xdr:col>1</xdr:col>
                    <xdr:colOff>144780</xdr:colOff>
                    <xdr:row>486</xdr:row>
                    <xdr:rowOff>0</xdr:rowOff>
                  </from>
                  <to>
                    <xdr:col>1</xdr:col>
                    <xdr:colOff>640080</xdr:colOff>
                    <xdr:row>487</xdr:row>
                    <xdr:rowOff>30480</xdr:rowOff>
                  </to>
                </anchor>
              </controlPr>
            </control>
          </mc:Choice>
        </mc:AlternateContent>
        <mc:AlternateContent xmlns:mc="http://schemas.openxmlformats.org/markup-compatibility/2006">
          <mc:Choice Requires="x14">
            <control shapeId="4286" r:id="rId149" name="Check Box 190">
              <controlPr defaultSize="0" autoFill="0" autoLine="0" autoPict="0">
                <anchor moveWithCells="1">
                  <from>
                    <xdr:col>2</xdr:col>
                    <xdr:colOff>68580</xdr:colOff>
                    <xdr:row>504</xdr:row>
                    <xdr:rowOff>220980</xdr:rowOff>
                  </from>
                  <to>
                    <xdr:col>3</xdr:col>
                    <xdr:colOff>68580</xdr:colOff>
                    <xdr:row>506</xdr:row>
                    <xdr:rowOff>30480</xdr:rowOff>
                  </to>
                </anchor>
              </controlPr>
            </control>
          </mc:Choice>
        </mc:AlternateContent>
        <mc:AlternateContent xmlns:mc="http://schemas.openxmlformats.org/markup-compatibility/2006">
          <mc:Choice Requires="x14">
            <control shapeId="4287" r:id="rId150" name="Check Box 191">
              <controlPr defaultSize="0" autoFill="0" autoLine="0" autoPict="0">
                <anchor moveWithCells="1">
                  <from>
                    <xdr:col>1</xdr:col>
                    <xdr:colOff>144780</xdr:colOff>
                    <xdr:row>503</xdr:row>
                    <xdr:rowOff>0</xdr:rowOff>
                  </from>
                  <to>
                    <xdr:col>1</xdr:col>
                    <xdr:colOff>640080</xdr:colOff>
                    <xdr:row>504</xdr:row>
                    <xdr:rowOff>30480</xdr:rowOff>
                  </to>
                </anchor>
              </controlPr>
            </control>
          </mc:Choice>
        </mc:AlternateContent>
        <mc:AlternateContent xmlns:mc="http://schemas.openxmlformats.org/markup-compatibility/2006">
          <mc:Choice Requires="x14">
            <control shapeId="4288" r:id="rId151" name="Check Box 192">
              <controlPr defaultSize="0" autoFill="0" autoLine="0" autoPict="0">
                <anchor moveWithCells="1">
                  <from>
                    <xdr:col>1</xdr:col>
                    <xdr:colOff>144780</xdr:colOff>
                    <xdr:row>520</xdr:row>
                    <xdr:rowOff>0</xdr:rowOff>
                  </from>
                  <to>
                    <xdr:col>1</xdr:col>
                    <xdr:colOff>640080</xdr:colOff>
                    <xdr:row>521</xdr:row>
                    <xdr:rowOff>30480</xdr:rowOff>
                  </to>
                </anchor>
              </controlPr>
            </control>
          </mc:Choice>
        </mc:AlternateContent>
        <mc:AlternateContent xmlns:mc="http://schemas.openxmlformats.org/markup-compatibility/2006">
          <mc:Choice Requires="x14">
            <control shapeId="4289" r:id="rId152" name="Check Box 193">
              <controlPr defaultSize="0" autoFill="0" autoLine="0" autoPict="0">
                <anchor moveWithCells="1">
                  <from>
                    <xdr:col>0</xdr:col>
                    <xdr:colOff>0</xdr:colOff>
                    <xdr:row>999</xdr:row>
                    <xdr:rowOff>30480</xdr:rowOff>
                  </from>
                  <to>
                    <xdr:col>1</xdr:col>
                    <xdr:colOff>68580</xdr:colOff>
                    <xdr:row>999</xdr:row>
                    <xdr:rowOff>259080</xdr:rowOff>
                  </to>
                </anchor>
              </controlPr>
            </control>
          </mc:Choice>
        </mc:AlternateContent>
        <mc:AlternateContent xmlns:mc="http://schemas.openxmlformats.org/markup-compatibility/2006">
          <mc:Choice Requires="x14">
            <control shapeId="4290" r:id="rId153" name="Check Box 194">
              <controlPr defaultSize="0" autoFill="0" autoLine="0" autoPict="0">
                <anchor moveWithCells="1">
                  <from>
                    <xdr:col>0</xdr:col>
                    <xdr:colOff>0</xdr:colOff>
                    <xdr:row>1000</xdr:row>
                    <xdr:rowOff>182880</xdr:rowOff>
                  </from>
                  <to>
                    <xdr:col>1</xdr:col>
                    <xdr:colOff>68580</xdr:colOff>
                    <xdr:row>1002</xdr:row>
                    <xdr:rowOff>30480</xdr:rowOff>
                  </to>
                </anchor>
              </controlPr>
            </control>
          </mc:Choice>
        </mc:AlternateContent>
        <mc:AlternateContent xmlns:mc="http://schemas.openxmlformats.org/markup-compatibility/2006">
          <mc:Choice Requires="x14">
            <control shapeId="4291" r:id="rId154" name="Check Box 195">
              <controlPr defaultSize="0" autoFill="0" autoLine="0" autoPict="0">
                <anchor moveWithCells="1">
                  <from>
                    <xdr:col>0</xdr:col>
                    <xdr:colOff>0</xdr:colOff>
                    <xdr:row>1021</xdr:row>
                    <xdr:rowOff>182880</xdr:rowOff>
                  </from>
                  <to>
                    <xdr:col>1</xdr:col>
                    <xdr:colOff>68580</xdr:colOff>
                    <xdr:row>1023</xdr:row>
                    <xdr:rowOff>38100</xdr:rowOff>
                  </to>
                </anchor>
              </controlPr>
            </control>
          </mc:Choice>
        </mc:AlternateContent>
        <mc:AlternateContent xmlns:mc="http://schemas.openxmlformats.org/markup-compatibility/2006">
          <mc:Choice Requires="x14">
            <control shapeId="4292" r:id="rId155" name="Check Box 196">
              <controlPr defaultSize="0" autoFill="0" autoLine="0" autoPict="0">
                <anchor moveWithCells="1">
                  <from>
                    <xdr:col>0</xdr:col>
                    <xdr:colOff>0</xdr:colOff>
                    <xdr:row>1029</xdr:row>
                    <xdr:rowOff>152400</xdr:rowOff>
                  </from>
                  <to>
                    <xdr:col>1</xdr:col>
                    <xdr:colOff>68580</xdr:colOff>
                    <xdr:row>1031</xdr:row>
                    <xdr:rowOff>30480</xdr:rowOff>
                  </to>
                </anchor>
              </controlPr>
            </control>
          </mc:Choice>
        </mc:AlternateContent>
        <mc:AlternateContent xmlns:mc="http://schemas.openxmlformats.org/markup-compatibility/2006">
          <mc:Choice Requires="x14">
            <control shapeId="4293" r:id="rId156" name="Check Box 197">
              <controlPr defaultSize="0" autoFill="0" autoLine="0" autoPict="0">
                <anchor moveWithCells="1">
                  <from>
                    <xdr:col>0</xdr:col>
                    <xdr:colOff>0</xdr:colOff>
                    <xdr:row>1036</xdr:row>
                    <xdr:rowOff>182880</xdr:rowOff>
                  </from>
                  <to>
                    <xdr:col>1</xdr:col>
                    <xdr:colOff>68580</xdr:colOff>
                    <xdr:row>1038</xdr:row>
                    <xdr:rowOff>22860</xdr:rowOff>
                  </to>
                </anchor>
              </controlPr>
            </control>
          </mc:Choice>
        </mc:AlternateContent>
        <mc:AlternateContent xmlns:mc="http://schemas.openxmlformats.org/markup-compatibility/2006">
          <mc:Choice Requires="x14">
            <control shapeId="4295" r:id="rId157" name="Check Box 199">
              <controlPr defaultSize="0" autoFill="0" autoLine="0" autoPict="0">
                <anchor moveWithCells="1">
                  <from>
                    <xdr:col>0</xdr:col>
                    <xdr:colOff>0</xdr:colOff>
                    <xdr:row>1053</xdr:row>
                    <xdr:rowOff>30480</xdr:rowOff>
                  </from>
                  <to>
                    <xdr:col>1</xdr:col>
                    <xdr:colOff>68580</xdr:colOff>
                    <xdr:row>1053</xdr:row>
                    <xdr:rowOff>259080</xdr:rowOff>
                  </to>
                </anchor>
              </controlPr>
            </control>
          </mc:Choice>
        </mc:AlternateContent>
        <mc:AlternateContent xmlns:mc="http://schemas.openxmlformats.org/markup-compatibility/2006">
          <mc:Choice Requires="x14">
            <control shapeId="4296" r:id="rId158" name="Check Box 200">
              <controlPr defaultSize="0" autoFill="0" autoLine="0" autoPict="0">
                <anchor moveWithCells="1">
                  <from>
                    <xdr:col>2</xdr:col>
                    <xdr:colOff>182880</xdr:colOff>
                    <xdr:row>269</xdr:row>
                    <xdr:rowOff>30480</xdr:rowOff>
                  </from>
                  <to>
                    <xdr:col>3</xdr:col>
                    <xdr:colOff>373380</xdr:colOff>
                    <xdr:row>270</xdr:row>
                    <xdr:rowOff>60960</xdr:rowOff>
                  </to>
                </anchor>
              </controlPr>
            </control>
          </mc:Choice>
        </mc:AlternateContent>
        <mc:AlternateContent xmlns:mc="http://schemas.openxmlformats.org/markup-compatibility/2006">
          <mc:Choice Requires="x14">
            <control shapeId="4297" r:id="rId159" name="Check Box 201">
              <controlPr defaultSize="0" autoFill="0" autoLine="0" autoPict="0">
                <anchor moveWithCells="1">
                  <from>
                    <xdr:col>2</xdr:col>
                    <xdr:colOff>182880</xdr:colOff>
                    <xdr:row>270</xdr:row>
                    <xdr:rowOff>30480</xdr:rowOff>
                  </from>
                  <to>
                    <xdr:col>3</xdr:col>
                    <xdr:colOff>373380</xdr:colOff>
                    <xdr:row>271</xdr:row>
                    <xdr:rowOff>30480</xdr:rowOff>
                  </to>
                </anchor>
              </controlPr>
            </control>
          </mc:Choice>
        </mc:AlternateContent>
        <mc:AlternateContent xmlns:mc="http://schemas.openxmlformats.org/markup-compatibility/2006">
          <mc:Choice Requires="x14">
            <control shapeId="4298" r:id="rId160" name="Check Box 202">
              <controlPr defaultSize="0" autoFill="0" autoLine="0" autoPict="0">
                <anchor moveWithCells="1">
                  <from>
                    <xdr:col>2</xdr:col>
                    <xdr:colOff>182880</xdr:colOff>
                    <xdr:row>271</xdr:row>
                    <xdr:rowOff>30480</xdr:rowOff>
                  </from>
                  <to>
                    <xdr:col>3</xdr:col>
                    <xdr:colOff>373380</xdr:colOff>
                    <xdr:row>272</xdr:row>
                    <xdr:rowOff>30480</xdr:rowOff>
                  </to>
                </anchor>
              </controlPr>
            </control>
          </mc:Choice>
        </mc:AlternateContent>
        <mc:AlternateContent xmlns:mc="http://schemas.openxmlformats.org/markup-compatibility/2006">
          <mc:Choice Requires="x14">
            <control shapeId="4168" r:id="rId161" name="Check Box 72">
              <controlPr defaultSize="0" autoFill="0" autoLine="0" autoPict="0" altText="Estufa( horno) EQ-CERT-180_x000a_">
                <anchor moveWithCells="1">
                  <from>
                    <xdr:col>2</xdr:col>
                    <xdr:colOff>114300</xdr:colOff>
                    <xdr:row>139</xdr:row>
                    <xdr:rowOff>38100</xdr:rowOff>
                  </from>
                  <to>
                    <xdr:col>5</xdr:col>
                    <xdr:colOff>335280</xdr:colOff>
                    <xdr:row>140</xdr:row>
                    <xdr:rowOff>60960</xdr:rowOff>
                  </to>
                </anchor>
              </controlPr>
            </control>
          </mc:Choice>
        </mc:AlternateContent>
        <mc:AlternateContent xmlns:mc="http://schemas.openxmlformats.org/markup-compatibility/2006">
          <mc:Choice Requires="x14">
            <control shapeId="4299" r:id="rId162" name="Check Box 203">
              <controlPr defaultSize="0" autoFill="0" autoLine="0" autoPict="0">
                <anchor moveWithCells="1">
                  <from>
                    <xdr:col>2</xdr:col>
                    <xdr:colOff>220980</xdr:colOff>
                    <xdr:row>644</xdr:row>
                    <xdr:rowOff>182880</xdr:rowOff>
                  </from>
                  <to>
                    <xdr:col>5</xdr:col>
                    <xdr:colOff>259080</xdr:colOff>
                    <xdr:row>646</xdr:row>
                    <xdr:rowOff>0</xdr:rowOff>
                  </to>
                </anchor>
              </controlPr>
            </control>
          </mc:Choice>
        </mc:AlternateContent>
        <mc:AlternateContent xmlns:mc="http://schemas.openxmlformats.org/markup-compatibility/2006">
          <mc:Choice Requires="x14">
            <control shapeId="4302" r:id="rId163" name="Check Box 206">
              <controlPr defaultSize="0" autoFill="0" autoLine="0" autoPict="0">
                <anchor moveWithCells="1">
                  <from>
                    <xdr:col>2</xdr:col>
                    <xdr:colOff>220980</xdr:colOff>
                    <xdr:row>648</xdr:row>
                    <xdr:rowOff>182880</xdr:rowOff>
                  </from>
                  <to>
                    <xdr:col>4</xdr:col>
                    <xdr:colOff>190500</xdr:colOff>
                    <xdr:row>650</xdr:row>
                    <xdr:rowOff>22860</xdr:rowOff>
                  </to>
                </anchor>
              </controlPr>
            </control>
          </mc:Choice>
        </mc:AlternateContent>
        <mc:AlternateContent xmlns:mc="http://schemas.openxmlformats.org/markup-compatibility/2006">
          <mc:Choice Requires="x14">
            <control shapeId="4303" r:id="rId164" name="Check Box 207">
              <controlPr defaultSize="0" autoFill="0" autoLine="0" autoPict="0">
                <anchor moveWithCells="1">
                  <from>
                    <xdr:col>2</xdr:col>
                    <xdr:colOff>114300</xdr:colOff>
                    <xdr:row>773</xdr:row>
                    <xdr:rowOff>7620</xdr:rowOff>
                  </from>
                  <to>
                    <xdr:col>3</xdr:col>
                    <xdr:colOff>563880</xdr:colOff>
                    <xdr:row>774</xdr:row>
                    <xdr:rowOff>45720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52" id="{D2C76968-C8A8-43A9-9325-77740A88476D}">
            <xm:f>'Datos ensayos LUM.'!$D$29</xm:f>
            <x14:dxf>
              <font>
                <b/>
                <i val="0"/>
                <strike val="0"/>
                <color rgb="FFFF0000"/>
              </font>
            </x14:dxf>
          </x14:cfRule>
          <xm:sqref>B3</xm:sqref>
        </x14:conditionalFormatting>
        <x14:conditionalFormatting xmlns:xm="http://schemas.microsoft.com/office/excel/2006/main">
          <x14:cfRule type="expression" priority="251" id="{AF402490-5AAE-4A63-8F8E-1CD5B0600EE1}">
            <xm:f>'Datos ensayos LUM.'!$L$31</xm:f>
            <x14:dxf>
              <font>
                <strike val="0"/>
                <color rgb="FFFF0000"/>
              </font>
            </x14:dxf>
          </x14:cfRule>
          <xm:sqref>B24</xm:sqref>
        </x14:conditionalFormatting>
        <x14:conditionalFormatting xmlns:xm="http://schemas.microsoft.com/office/excel/2006/main">
          <x14:cfRule type="expression" priority="249" id="{AC762F15-5447-4771-A2A3-8C2E6F9DC9E8}">
            <xm:f>'Datos ensayos LUM.'!$D$42</xm:f>
            <x14:dxf>
              <font>
                <color rgb="FFFF0000"/>
              </font>
            </x14:dxf>
          </x14:cfRule>
          <xm:sqref>B43</xm:sqref>
        </x14:conditionalFormatting>
        <x14:conditionalFormatting xmlns:xm="http://schemas.microsoft.com/office/excel/2006/main">
          <x14:cfRule type="expression" priority="162" id="{8768275F-9834-4C22-976A-B9F65D04447E}">
            <xm:f>'Datos ensayos LUM.'!$BN$28</xm:f>
            <x14:dxf>
              <font>
                <color rgb="FFFF0000"/>
              </font>
            </x14:dxf>
          </x14:cfRule>
          <xm:sqref>B538</xm:sqref>
        </x14:conditionalFormatting>
        <x14:conditionalFormatting xmlns:xm="http://schemas.microsoft.com/office/excel/2006/main">
          <x14:cfRule type="expression" priority="255" id="{E4C60589-4152-4AC5-A4B0-47C284D3256B}">
            <xm:f>'Datos ensayos LUM.'!$D$66</xm:f>
            <x14:dxf>
              <font>
                <color rgb="FFFF0000"/>
              </font>
            </x14:dxf>
          </x14:cfRule>
          <xm:sqref>B57:C57</xm:sqref>
        </x14:conditionalFormatting>
        <x14:conditionalFormatting xmlns:xm="http://schemas.microsoft.com/office/excel/2006/main">
          <x14:cfRule type="expression" priority="245" id="{FAF236F5-A9B5-4E7F-B637-ACEEBCE75944}">
            <xm:f>'Datos ensayos LUM.'!$L$85</xm:f>
            <x14:dxf>
              <font>
                <color rgb="FFFF0000"/>
              </font>
            </x14:dxf>
          </x14:cfRule>
          <xm:sqref>B82:C82</xm:sqref>
        </x14:conditionalFormatting>
        <x14:conditionalFormatting xmlns:xm="http://schemas.microsoft.com/office/excel/2006/main">
          <x14:cfRule type="expression" priority="411" id="{BA8B6F62-8F89-404F-A1F6-06037A6264D6}">
            <xm:f>'Datos ensayos LUM.'!$D$112</xm:f>
            <x14:dxf>
              <font>
                <color rgb="FFFF0000"/>
              </font>
            </x14:dxf>
          </x14:cfRule>
          <xm:sqref>B112:C112</xm:sqref>
        </x14:conditionalFormatting>
        <x14:conditionalFormatting xmlns:xm="http://schemas.microsoft.com/office/excel/2006/main">
          <x14:cfRule type="expression" priority="256" id="{8C9301A1-0996-457E-B1A5-8CACD1AD30F7}">
            <xm:f>'Datos ensayos LUM.'!$L$105</xm:f>
            <x14:dxf>
              <font>
                <color rgb="FFFF0000"/>
              </font>
            </x14:dxf>
          </x14:cfRule>
          <xm:sqref>B149:C149</xm:sqref>
        </x14:conditionalFormatting>
        <x14:conditionalFormatting xmlns:xm="http://schemas.microsoft.com/office/excel/2006/main">
          <x14:cfRule type="expression" priority="241" id="{CEDBF676-8DE0-4E2A-ABD0-1238E0AD0189}">
            <xm:f>'Datos ensayos LUM.'!$D$143</xm:f>
            <x14:dxf>
              <font>
                <color rgb="FFFF0000"/>
              </font>
            </x14:dxf>
          </x14:cfRule>
          <xm:sqref>B167:C167</xm:sqref>
        </x14:conditionalFormatting>
        <x14:conditionalFormatting xmlns:xm="http://schemas.microsoft.com/office/excel/2006/main">
          <x14:cfRule type="expression" priority="238" id="{A0E19E4C-6341-411A-ABE3-E6CFE66CD1EE}">
            <xm:f>'Datos ensayos LUM.'!$D$149</xm:f>
            <x14:dxf>
              <font>
                <color rgb="FFFF0000"/>
              </font>
            </x14:dxf>
          </x14:cfRule>
          <xm:sqref>B188:C188</xm:sqref>
        </x14:conditionalFormatting>
        <x14:conditionalFormatting xmlns:xm="http://schemas.microsoft.com/office/excel/2006/main">
          <x14:cfRule type="expression" priority="237" id="{9A9B1D37-FC54-4BD2-9F56-F6A6A14D7E6D}">
            <xm:f>'Datos ensayos LUM.'!$L$139</xm:f>
            <x14:dxf>
              <font>
                <color rgb="FFFF0000"/>
              </font>
            </x14:dxf>
          </x14:cfRule>
          <xm:sqref>B205:C205</xm:sqref>
        </x14:conditionalFormatting>
        <x14:conditionalFormatting xmlns:xm="http://schemas.microsoft.com/office/excel/2006/main">
          <x14:cfRule type="expression" priority="236" id="{C28A75B5-4A1E-4517-B4F3-B8C43172409E}">
            <xm:f>'Datos ensayos LUM.'!$L$151</xm:f>
            <x14:dxf>
              <font>
                <color rgb="FFFF0000"/>
              </font>
            </x14:dxf>
          </x14:cfRule>
          <xm:sqref>B218:C218</xm:sqref>
        </x14:conditionalFormatting>
        <x14:conditionalFormatting xmlns:xm="http://schemas.microsoft.com/office/excel/2006/main">
          <x14:cfRule type="expression" priority="229" id="{8AB068A4-3728-4F2F-86ED-2F75AF126A9E}">
            <xm:f>'Datos ensayos LUM.'!$D$171</xm:f>
            <x14:dxf>
              <font>
                <color rgb="FFFF0000"/>
              </font>
            </x14:dxf>
          </x14:cfRule>
          <xm:sqref>B233:C233 B245:C245</xm:sqref>
        </x14:conditionalFormatting>
        <x14:conditionalFormatting xmlns:xm="http://schemas.microsoft.com/office/excel/2006/main">
          <x14:cfRule type="expression" priority="216" id="{FB0E3A90-589A-41DF-9EC3-4508835387E9}">
            <xm:f>'Datos ensayos LUM.'!$L$171</xm:f>
            <x14:dxf>
              <font>
                <color rgb="FFFF0000"/>
              </font>
            </x14:dxf>
          </x14:cfRule>
          <xm:sqref>B253:C253</xm:sqref>
        </x14:conditionalFormatting>
        <x14:conditionalFormatting xmlns:xm="http://schemas.microsoft.com/office/excel/2006/main">
          <x14:cfRule type="expression" priority="218" id="{6A7300BA-8FD3-4567-BB1F-FD3DCEE5CE46}">
            <xm:f>'Datos ensayos LUM.'!$D$198</xm:f>
            <x14:dxf>
              <font>
                <color rgb="FFFF0000"/>
              </font>
            </x14:dxf>
          </x14:cfRule>
          <xm:sqref>B266:C266</xm:sqref>
        </x14:conditionalFormatting>
        <x14:conditionalFormatting xmlns:xm="http://schemas.microsoft.com/office/excel/2006/main">
          <x14:cfRule type="expression" priority="257" id="{FA224DFB-9049-42E3-8A73-D18D89290CF9}">
            <xm:f>'Datos ensayos LUM.'!$L$192</xm:f>
            <x14:dxf>
              <font>
                <color rgb="FFFF0000"/>
              </font>
            </x14:dxf>
          </x14:cfRule>
          <xm:sqref>B289:C289</xm:sqref>
        </x14:conditionalFormatting>
        <x14:conditionalFormatting xmlns:xm="http://schemas.microsoft.com/office/excel/2006/main">
          <x14:cfRule type="expression" priority="212" id="{C89CDCA2-E55C-4B7E-97F3-8D4DE52A29CF}">
            <xm:f>'Datos ensayos LUM.'!$L$213</xm:f>
            <x14:dxf>
              <font>
                <color rgb="FFFF0000"/>
              </font>
            </x14:dxf>
          </x14:cfRule>
          <xm:sqref>B305:C305</xm:sqref>
        </x14:conditionalFormatting>
        <x14:conditionalFormatting xmlns:xm="http://schemas.microsoft.com/office/excel/2006/main">
          <x14:cfRule type="expression" priority="209" id="{1B6740D2-5F35-4BF5-9B43-0AB235480FFB}">
            <xm:f>'Datos ensayos LUM.'!$D$246</xm:f>
            <x14:dxf>
              <font>
                <color rgb="FFFF0000"/>
              </font>
            </x14:dxf>
          </x14:cfRule>
          <xm:sqref>B323:C323</xm:sqref>
        </x14:conditionalFormatting>
        <x14:conditionalFormatting xmlns:xm="http://schemas.microsoft.com/office/excel/2006/main">
          <x14:cfRule type="expression" priority="207" id="{0DD5AF0F-3D46-4CC3-977E-DE2B4AD49044}">
            <xm:f>'Datos ensayos LUM.'!$L$242</xm:f>
            <x14:dxf>
              <font>
                <color rgb="FFFF0000"/>
              </font>
            </x14:dxf>
          </x14:cfRule>
          <xm:sqref>B348:C348</xm:sqref>
        </x14:conditionalFormatting>
        <x14:conditionalFormatting xmlns:xm="http://schemas.microsoft.com/office/excel/2006/main">
          <x14:cfRule type="expression" priority="205" id="{207764F9-517E-4E2D-9FBA-C0FD4EFE1291}">
            <xm:f>'Datos ensayos LUM.'!$D$265</xm:f>
            <x14:dxf>
              <font>
                <color rgb="FFFF0000"/>
              </font>
            </x14:dxf>
          </x14:cfRule>
          <xm:sqref>B359:C359</xm:sqref>
        </x14:conditionalFormatting>
        <x14:conditionalFormatting xmlns:xm="http://schemas.microsoft.com/office/excel/2006/main">
          <x14:cfRule type="expression" priority="259" id="{73000804-F72E-4F9E-8A73-5BC40B6FD504}">
            <xm:f>'Datos ensayos LUM.'!$AB$37</xm:f>
            <x14:dxf>
              <font>
                <color rgb="FFFF0000"/>
              </font>
            </x14:dxf>
          </x14:cfRule>
          <xm:sqref>B590:C590</xm:sqref>
        </x14:conditionalFormatting>
        <x14:conditionalFormatting xmlns:xm="http://schemas.microsoft.com/office/excel/2006/main">
          <x14:cfRule type="expression" priority="198" id="{55B2BFBE-B9D2-4396-912C-AB7C795CE4D9}">
            <xm:f>'Datos ensayos LUM.'!$AB$25</xm:f>
            <x14:dxf>
              <font>
                <color rgb="FFFF0000"/>
              </font>
            </x14:dxf>
          </x14:cfRule>
          <xm:sqref>B593:C593</xm:sqref>
        </x14:conditionalFormatting>
        <x14:conditionalFormatting xmlns:xm="http://schemas.microsoft.com/office/excel/2006/main">
          <x14:cfRule type="expression" priority="196" id="{491CA956-BDEE-4F41-914F-4F76DD1800C6}">
            <xm:f>'Datos ensayos LUM.'!$AB$32</xm:f>
            <x14:dxf>
              <font>
                <color rgb="FFFF0000"/>
              </font>
            </x14:dxf>
          </x14:cfRule>
          <xm:sqref>B608:C608</xm:sqref>
        </x14:conditionalFormatting>
        <x14:conditionalFormatting xmlns:xm="http://schemas.microsoft.com/office/excel/2006/main">
          <x14:cfRule type="expression" priority="192" id="{95ACE04D-089F-41C0-B5BE-8EA43443BC58}">
            <xm:f>'Datos ensayos LUM.'!$AB$56</xm:f>
            <x14:dxf>
              <font>
                <color rgb="FFFF0000"/>
              </font>
            </x14:dxf>
          </x14:cfRule>
          <xm:sqref>B623:C623</xm:sqref>
        </x14:conditionalFormatting>
        <x14:conditionalFormatting xmlns:xm="http://schemas.microsoft.com/office/excel/2006/main">
          <x14:cfRule type="expression" priority="191" id="{7558FAC5-6BA6-4D26-97E1-376AB0E04343}">
            <xm:f>'Datos ensayos LUM.'!$AJ$61</xm:f>
            <x14:dxf>
              <font>
                <color rgb="FFFF0000"/>
              </font>
            </x14:dxf>
          </x14:cfRule>
          <xm:sqref>B641:C641</xm:sqref>
        </x14:conditionalFormatting>
        <x14:conditionalFormatting xmlns:xm="http://schemas.microsoft.com/office/excel/2006/main">
          <x14:cfRule type="expression" priority="190" id="{7425759A-F484-4346-95CA-4971A2917CB4}">
            <xm:f>'Datos ensayos LUM.'!$AJ$43</xm:f>
            <x14:dxf>
              <font>
                <color rgb="FFFF0000"/>
              </font>
            </x14:dxf>
          </x14:cfRule>
          <xm:sqref>B660:C660</xm:sqref>
        </x14:conditionalFormatting>
        <x14:conditionalFormatting xmlns:xm="http://schemas.microsoft.com/office/excel/2006/main">
          <x14:cfRule type="expression" priority="188" id="{E2143751-888B-4EA6-99DD-E8938E92AB25}">
            <xm:f>'Datos ensayos LUM.'!$AJ$53</xm:f>
            <x14:dxf>
              <font>
                <color rgb="FFFF0000"/>
              </font>
            </x14:dxf>
          </x14:cfRule>
          <xm:sqref>B684:C684</xm:sqref>
        </x14:conditionalFormatting>
        <x14:conditionalFormatting xmlns:xm="http://schemas.microsoft.com/office/excel/2006/main">
          <x14:cfRule type="expression" priority="187" id="{1AF5CD53-68CB-47CF-AFD0-0DD1A5465B2C}">
            <xm:f>'Datos ensayos LUM.'!$AJ$58</xm:f>
            <x14:dxf>
              <font>
                <color rgb="FFFF0000"/>
              </font>
            </x14:dxf>
          </x14:cfRule>
          <xm:sqref>B696:C696</xm:sqref>
        </x14:conditionalFormatting>
        <x14:conditionalFormatting xmlns:xm="http://schemas.microsoft.com/office/excel/2006/main">
          <x14:cfRule type="expression" priority="181" id="{95CDA5F5-3531-41A8-9AE7-70DA2F87DD34}">
            <xm:f>'Datos ensayos LUM.'!$AR$62</xm:f>
            <x14:dxf>
              <font>
                <color rgb="FFFF0000"/>
              </font>
            </x14:dxf>
          </x14:cfRule>
          <xm:sqref>B721:C721</xm:sqref>
        </x14:conditionalFormatting>
        <x14:conditionalFormatting xmlns:xm="http://schemas.microsoft.com/office/excel/2006/main">
          <x14:cfRule type="expression" priority="260" id="{87A5979E-BD37-4224-A764-877635E01ED9}">
            <xm:f>'Datos ensayos LUM.'!$AR$72</xm:f>
            <x14:dxf>
              <font>
                <color rgb="FFFF0000"/>
              </font>
            </x14:dxf>
          </x14:cfRule>
          <xm:sqref>B736:C736</xm:sqref>
        </x14:conditionalFormatting>
        <x14:conditionalFormatting xmlns:xm="http://schemas.microsoft.com/office/excel/2006/main">
          <x14:cfRule type="expression" priority="177" id="{5C7349C2-B838-47D0-AD2F-E25673D7E9B0}">
            <xm:f>'Datos ensayos LUM.'!$AR$80</xm:f>
            <x14:dxf>
              <font>
                <color rgb="FFFF0000"/>
              </font>
            </x14:dxf>
          </x14:cfRule>
          <xm:sqref>B747:C747</xm:sqref>
        </x14:conditionalFormatting>
        <x14:conditionalFormatting xmlns:xm="http://schemas.microsoft.com/office/excel/2006/main">
          <x14:cfRule type="expression" priority="172" id="{D60A0C5D-18CB-4C63-A940-9B2EB3F2D7A5}">
            <xm:f>'Datos ensayos LUM.'!$BE$42</xm:f>
            <x14:dxf>
              <font>
                <color rgb="FFFF0000"/>
              </font>
            </x14:dxf>
          </x14:cfRule>
          <xm:sqref>B771:C771</xm:sqref>
        </x14:conditionalFormatting>
        <x14:conditionalFormatting xmlns:xm="http://schemas.microsoft.com/office/excel/2006/main">
          <x14:cfRule type="expression" priority="170" id="{C11AB0DE-F295-4226-823C-2CD552DF48E3}">
            <xm:f>'Datos ensayos LUM.'!$BE$50</xm:f>
            <x14:dxf>
              <font>
                <color rgb="FFFF0000"/>
              </font>
            </x14:dxf>
          </x14:cfRule>
          <xm:sqref>B797:C797</xm:sqref>
        </x14:conditionalFormatting>
        <x14:conditionalFormatting xmlns:xm="http://schemas.microsoft.com/office/excel/2006/main">
          <x14:cfRule type="expression" priority="168" id="{B3297E9C-6C37-4209-8050-3EF37D00FFC0}">
            <xm:f>'Datos ensayos LUM.'!$BE$58</xm:f>
            <x14:dxf>
              <font>
                <color rgb="FFFF0000"/>
              </font>
            </x14:dxf>
          </x14:cfRule>
          <xm:sqref>B822:C822</xm:sqref>
        </x14:conditionalFormatting>
        <x14:conditionalFormatting xmlns:xm="http://schemas.microsoft.com/office/excel/2006/main">
          <x14:cfRule type="expression" priority="20" id="{E33B7B72-1657-4711-9AFB-19DD0EF98331}">
            <xm:f>'Datos ensayos LUM.'!$BW$22</xm:f>
            <x14:dxf>
              <font>
                <strike/>
                <color theme="1"/>
              </font>
            </x14:dxf>
          </x14:cfRule>
          <xm:sqref>B919:C920 B921:D921</xm:sqref>
        </x14:conditionalFormatting>
        <x14:conditionalFormatting xmlns:xm="http://schemas.microsoft.com/office/excel/2006/main">
          <x14:cfRule type="expression" priority="21" id="{EB71D8E3-4EFB-43FF-83A9-E116CE4830FB}">
            <xm:f>'Datos ensayos LUM.'!$BW$20</xm:f>
            <x14:dxf>
              <font>
                <strike/>
                <color theme="1"/>
              </font>
            </x14:dxf>
          </x14:cfRule>
          <x14:cfRule type="expression" priority="22" id="{5D051D74-A19C-41CD-B4F9-6ACD827CBBF4}">
            <xm:f>'Datos ensayos LUM.'!$BW$30</xm:f>
            <x14:dxf>
              <font>
                <strike/>
                <color theme="1"/>
              </font>
            </x14:dxf>
          </x14:cfRule>
          <xm:sqref>B926:C929</xm:sqref>
        </x14:conditionalFormatting>
        <x14:conditionalFormatting xmlns:xm="http://schemas.microsoft.com/office/excel/2006/main">
          <x14:cfRule type="expression" priority="128" id="{936505CA-893E-475E-A881-E7B879A89CE7}">
            <xm:f>'Datos ensayos LUM.'!$BW$67</xm:f>
            <x14:dxf>
              <font>
                <color rgb="FFFF0000"/>
              </font>
            </x14:dxf>
          </x14:cfRule>
          <xm:sqref>B985:C985</xm:sqref>
        </x14:conditionalFormatting>
        <x14:conditionalFormatting xmlns:xm="http://schemas.microsoft.com/office/excel/2006/main">
          <x14:cfRule type="expression" priority="54" id="{81BDF4CD-17C7-4AA0-86D5-0CDEB869FFB1}">
            <xm:f>'Datos ensayos LUM.'!$BN$54</xm:f>
            <x14:dxf>
              <font>
                <color rgb="FFFF0000"/>
              </font>
            </x14:dxf>
          </x14:cfRule>
          <xm:sqref>B1002:C1002</xm:sqref>
        </x14:conditionalFormatting>
        <x14:conditionalFormatting xmlns:xm="http://schemas.microsoft.com/office/excel/2006/main">
          <x14:cfRule type="expression" priority="53" id="{8217036F-33A4-4939-B01B-BFD1F1ECF2DA}">
            <xm:f>'Datos ensayos LUM.'!$BN$48</xm:f>
            <x14:dxf>
              <font>
                <color rgb="FFFF0000"/>
              </font>
            </x14:dxf>
          </x14:cfRule>
          <xm:sqref>B1003:C1003</xm:sqref>
        </x14:conditionalFormatting>
        <x14:conditionalFormatting xmlns:xm="http://schemas.microsoft.com/office/excel/2006/main">
          <x14:cfRule type="expression" priority="52" id="{C6633BFA-64F5-40B4-8D15-11914DAC4CC6}">
            <xm:f>'Datos ensayos LUM.'!$BN$51</xm:f>
            <x14:dxf>
              <font>
                <color rgb="FFFF0000"/>
              </font>
            </x14:dxf>
          </x14:cfRule>
          <xm:sqref>B1010:C1010</xm:sqref>
        </x14:conditionalFormatting>
        <x14:conditionalFormatting xmlns:xm="http://schemas.microsoft.com/office/excel/2006/main">
          <x14:cfRule type="expression" priority="49" id="{A06BBFBB-0FD1-4FDF-BA40-59D9025B6EC3}">
            <xm:f>'Datos ensayos LUM.'!$BN$63</xm:f>
            <x14:dxf>
              <font>
                <color rgb="FFFF0000"/>
              </font>
            </x14:dxf>
          </x14:cfRule>
          <xm:sqref>B1024:C1024</xm:sqref>
        </x14:conditionalFormatting>
        <x14:conditionalFormatting xmlns:xm="http://schemas.microsoft.com/office/excel/2006/main">
          <x14:cfRule type="expression" priority="62" id="{C4B0A0A2-4F2E-476A-BD25-FE5B961072B9}">
            <xm:f>'Datos ensayos LUM.'!$CF$142</xm:f>
            <x14:dxf>
              <font>
                <color rgb="FFFF0000"/>
              </font>
            </x14:dxf>
          </x14:cfRule>
          <xm:sqref>B504:D504</xm:sqref>
        </x14:conditionalFormatting>
        <x14:conditionalFormatting xmlns:xm="http://schemas.microsoft.com/office/excel/2006/main">
          <x14:cfRule type="expression" priority="132" id="{A043CB7C-AF6F-4579-B0B1-15BF7A7AFD6A}">
            <xm:f>'Datos ensayos LUM.'!$BW$43</xm:f>
            <x14:dxf>
              <font>
                <color rgb="FFFF0000"/>
              </font>
            </x14:dxf>
          </x14:cfRule>
          <xm:sqref>B908:D908</xm:sqref>
        </x14:conditionalFormatting>
        <x14:conditionalFormatting xmlns:xm="http://schemas.microsoft.com/office/excel/2006/main">
          <x14:cfRule type="expression" priority="407" id="{7E7009E5-8B0A-4EDF-8146-A7F85504C09C}">
            <xm:f>'Datos ensayos LUM.'!$BW$60</xm:f>
            <x14:dxf>
              <font>
                <color rgb="FFFF0000"/>
              </font>
            </x14:dxf>
          </x14:cfRule>
          <xm:sqref>B955:D955</xm:sqref>
        </x14:conditionalFormatting>
        <x14:conditionalFormatting xmlns:xm="http://schemas.microsoft.com/office/excel/2006/main">
          <x14:cfRule type="expression" priority="201" id="{CDFDCAC0-0C26-4EBC-BB2B-E9D96C39F9C9}">
            <xm:f>'Datos ensayos LUM.'!$L$39</xm:f>
            <x14:dxf>
              <font>
                <color rgb="FFFF0000"/>
              </font>
            </x14:dxf>
          </x14:cfRule>
          <xm:sqref>B55:E55</xm:sqref>
        </x14:conditionalFormatting>
        <x14:conditionalFormatting xmlns:xm="http://schemas.microsoft.com/office/excel/2006/main">
          <x14:cfRule type="expression" priority="235" id="{1C304F1E-0415-4B6E-8137-DBE816CDB931}">
            <xm:f>'Datos ensayos LUM.'!$L$154</xm:f>
            <x14:dxf>
              <font>
                <color rgb="FFFF0000"/>
              </font>
            </x14:dxf>
          </x14:cfRule>
          <xm:sqref>B163:E163</xm:sqref>
        </x14:conditionalFormatting>
        <x14:conditionalFormatting xmlns:xm="http://schemas.microsoft.com/office/excel/2006/main">
          <x14:cfRule type="expression" priority="59" id="{4DFEE2E1-EFB6-41B4-B38F-1B5FFACD4C8D}">
            <xm:f>'Datos ensayos LUM.'!$CF$151</xm:f>
            <x14:dxf>
              <font>
                <color rgb="FFFF0000"/>
              </font>
            </x14:dxf>
          </x14:cfRule>
          <xm:sqref>B521:E521</xm:sqref>
        </x14:conditionalFormatting>
        <x14:conditionalFormatting xmlns:xm="http://schemas.microsoft.com/office/excel/2006/main">
          <x14:cfRule type="expression" priority="126" id="{922BDA9C-7B63-4B26-BDF4-D0E17201898A}">
            <xm:f>'Datos ensayos LUM.'!$BW$70</xm:f>
            <x14:dxf>
              <font>
                <color rgb="FFFF0000"/>
              </font>
            </x14:dxf>
          </x14:cfRule>
          <xm:sqref>B842:E842</xm:sqref>
        </x14:conditionalFormatting>
        <x14:conditionalFormatting xmlns:xm="http://schemas.microsoft.com/office/excel/2006/main">
          <x14:cfRule type="expression" priority="48" id="{D78DEDD5-04F6-46B1-A80A-D38F0CD01C9B}">
            <xm:f>'Datos ensayos LUM.'!$BN$69</xm:f>
            <x14:dxf>
              <font>
                <color rgb="FFFF0000"/>
              </font>
            </x14:dxf>
          </x14:cfRule>
          <xm:sqref>B1031:E1031</xm:sqref>
        </x14:conditionalFormatting>
        <x14:conditionalFormatting xmlns:xm="http://schemas.microsoft.com/office/excel/2006/main">
          <x14:cfRule type="expression" priority="47" id="{5FD10F6F-E1C7-453D-8C46-B5CE61A6D3D5}">
            <xm:f>'Datos ensayos LUM.'!$BN$75</xm:f>
            <x14:dxf>
              <font>
                <color rgb="FFFF0000"/>
              </font>
            </x14:dxf>
          </x14:cfRule>
          <xm:sqref>B1038:E1038</xm:sqref>
        </x14:conditionalFormatting>
        <x14:conditionalFormatting xmlns:xm="http://schemas.microsoft.com/office/excel/2006/main">
          <x14:cfRule type="expression" priority="227" stopIfTrue="1" id="{4AC74D11-9421-4314-9A39-3E103D1B1D88}">
            <xm:f>'Datos ensayos LUM.'!$L$20</xm:f>
            <x14:dxf>
              <font>
                <strike/>
                <color theme="1"/>
              </font>
            </x14:dxf>
          </x14:cfRule>
          <xm:sqref>B24:F27 C28:F29 B30:F30 B31 C31:F33</xm:sqref>
        </x14:conditionalFormatting>
        <x14:conditionalFormatting xmlns:xm="http://schemas.microsoft.com/office/excel/2006/main">
          <x14:cfRule type="expression" priority="226" id="{6D75A35F-674F-4299-B3CD-AB81791F3976}">
            <xm:f>'Datos ensayos LUM.'!$D$38</xm:f>
            <x14:dxf>
              <font>
                <strike/>
                <color theme="1"/>
              </font>
            </x14:dxf>
          </x14:cfRule>
          <xm:sqref>B43:F45</xm:sqref>
        </x14:conditionalFormatting>
        <x14:conditionalFormatting xmlns:xm="http://schemas.microsoft.com/office/excel/2006/main">
          <x14:cfRule type="expression" priority="225" id="{1DCF98B4-A356-407A-9D36-AFFFDDD3F049}">
            <xm:f>'Datos ensayos LUM.'!$K$40</xm:f>
            <x14:dxf>
              <font>
                <strike/>
                <color theme="1"/>
              </font>
            </x14:dxf>
          </x14:cfRule>
          <xm:sqref>B57:F63 B70:F70</xm:sqref>
        </x14:conditionalFormatting>
        <x14:conditionalFormatting xmlns:xm="http://schemas.microsoft.com/office/excel/2006/main">
          <x14:cfRule type="expression" priority="224" id="{CB265D48-98CE-46C6-A884-E7A19F7CB47F}">
            <xm:f>'Datos ensayos LUM.'!$K$41</xm:f>
            <x14:dxf>
              <font>
                <strike/>
                <color theme="1"/>
              </font>
            </x14:dxf>
          </x14:cfRule>
          <xm:sqref>B82:F84 B85:C88 B94:F102</xm:sqref>
        </x14:conditionalFormatting>
        <x14:conditionalFormatting xmlns:xm="http://schemas.microsoft.com/office/excel/2006/main">
          <x14:cfRule type="expression" priority="223" id="{7410C57C-CE80-40A8-B1E5-7E1BB87F0A08}">
            <xm:f>'Datos ensayos LUM.'!$K$42</xm:f>
            <x14:dxf>
              <font>
                <strike/>
                <color theme="1"/>
              </font>
            </x14:dxf>
          </x14:cfRule>
          <xm:sqref>B112:F120 B121:D125 B126:F126 B127 D127:F127 B128:F131 B132:D135 B136:F140</xm:sqref>
        </x14:conditionalFormatting>
        <x14:conditionalFormatting xmlns:xm="http://schemas.microsoft.com/office/excel/2006/main">
          <x14:cfRule type="expression" priority="1" id="{7E000190-A80B-4E02-8857-340C682C8913}">
            <xm:f>'Datos ensayos LUM.'!$D$103</xm:f>
            <x14:dxf>
              <font>
                <strike/>
              </font>
            </x14:dxf>
          </x14:cfRule>
          <xm:sqref>B118:F140</xm:sqref>
        </x14:conditionalFormatting>
        <x14:conditionalFormatting xmlns:xm="http://schemas.microsoft.com/office/excel/2006/main">
          <x14:cfRule type="expression" priority="222" id="{E5B1F27B-D222-45E1-A5B5-99E8E0CE3500}">
            <xm:f>'Datos ensayos LUM.'!$K$43</xm:f>
            <x14:dxf>
              <font>
                <strike/>
                <color theme="1"/>
              </font>
            </x14:dxf>
          </x14:cfRule>
          <xm:sqref>B149:F154</xm:sqref>
        </x14:conditionalFormatting>
        <x14:conditionalFormatting xmlns:xm="http://schemas.microsoft.com/office/excel/2006/main">
          <x14:cfRule type="expression" priority="242" id="{5934886D-31EE-447E-B16D-FC2652EAFF72}">
            <xm:f>('Datos ensayos LUM.'!$L$99)</xm:f>
            <x14:dxf>
              <font>
                <strike/>
              </font>
            </x14:dxf>
          </x14:cfRule>
          <xm:sqref>B149:F161</xm:sqref>
        </x14:conditionalFormatting>
        <x14:conditionalFormatting xmlns:xm="http://schemas.microsoft.com/office/excel/2006/main">
          <x14:cfRule type="expression" priority="221" id="{602DA60C-1928-4A10-8B5D-6EEF93317770}">
            <xm:f>'Datos ensayos LUM.'!$K$44</xm:f>
            <x14:dxf>
              <font>
                <strike/>
                <color theme="1"/>
              </font>
            </x14:dxf>
          </x14:cfRule>
          <xm:sqref>B163:F180 B188:F197 B204:F210 B218:F224</xm:sqref>
        </x14:conditionalFormatting>
        <x14:conditionalFormatting xmlns:xm="http://schemas.microsoft.com/office/excel/2006/main">
          <x14:cfRule type="expression" priority="220" id="{C14081C1-BAB6-412E-91DE-FCF95FB6A27E}">
            <xm:f>'Datos ensayos LUM.'!$K$45</xm:f>
            <x14:dxf>
              <font>
                <strike/>
                <color theme="1"/>
              </font>
            </x14:dxf>
          </x14:cfRule>
          <xm:sqref>B169:F178</xm:sqref>
        </x14:conditionalFormatting>
        <x14:conditionalFormatting xmlns:xm="http://schemas.microsoft.com/office/excel/2006/main">
          <x14:cfRule type="expression" priority="219" id="{8F7A6E79-87F5-4D46-9756-B216CD5DDED6}">
            <xm:f>'Datos ensayos LUM.'!$K$46</xm:f>
            <x14:dxf>
              <font>
                <strike/>
                <color theme="1"/>
              </font>
            </x14:dxf>
          </x14:cfRule>
          <xm:sqref>B190:F195</xm:sqref>
        </x14:conditionalFormatting>
        <x14:conditionalFormatting xmlns:xm="http://schemas.microsoft.com/office/excel/2006/main">
          <x14:cfRule type="expression" priority="228" id="{F1C84BC9-30C3-452C-9F05-286B7C6D81D7}">
            <xm:f>'Datos ensayos LUM.'!$K$48</xm:f>
            <x14:dxf>
              <font>
                <strike/>
                <color theme="1"/>
              </font>
            </x14:dxf>
          </x14:cfRule>
          <xm:sqref>B233:F246</xm:sqref>
        </x14:conditionalFormatting>
        <x14:conditionalFormatting xmlns:xm="http://schemas.microsoft.com/office/excel/2006/main">
          <x14:cfRule type="expression" priority="215" id="{8E34153E-4B59-4A71-B59E-11898F8C00AE}">
            <xm:f>'Datos ensayos LUM.'!$L$167</xm:f>
            <x14:dxf>
              <font>
                <strike/>
                <color theme="1"/>
              </font>
            </x14:dxf>
          </x14:cfRule>
          <xm:sqref>B253:F259</xm:sqref>
        </x14:conditionalFormatting>
        <x14:conditionalFormatting xmlns:xm="http://schemas.microsoft.com/office/excel/2006/main">
          <x14:cfRule type="expression" priority="217" id="{0918D203-6C0B-46F5-9930-277965560241}">
            <xm:f>'Datos ensayos LUM.'!$D$186</xm:f>
            <x14:dxf>
              <font>
                <strike/>
                <color theme="1"/>
              </font>
            </x14:dxf>
          </x14:cfRule>
          <xm:sqref>B266:F281</xm:sqref>
        </x14:conditionalFormatting>
        <x14:conditionalFormatting xmlns:xm="http://schemas.microsoft.com/office/excel/2006/main">
          <x14:cfRule type="expression" priority="213" id="{13E0FF8B-AC42-4687-ACB2-7B501EF18BD3}">
            <xm:f>'Datos ensayos LUM.'!$L$186</xm:f>
            <x14:dxf>
              <font>
                <strike/>
                <color theme="1"/>
              </font>
            </x14:dxf>
          </x14:cfRule>
          <xm:sqref>B289:F292 B293:C293 E293:F294 B294 B295:F295 B296:C296 B297</xm:sqref>
        </x14:conditionalFormatting>
        <x14:conditionalFormatting xmlns:xm="http://schemas.microsoft.com/office/excel/2006/main">
          <x14:cfRule type="expression" priority="211" id="{F8D8450C-DDB3-4B60-B7B1-9C0BC8666D7B}">
            <xm:f>'Datos ensayos LUM.'!$D$212</xm:f>
            <x14:dxf>
              <font>
                <strike/>
                <color theme="1"/>
              </font>
            </x14:dxf>
          </x14:cfRule>
          <xm:sqref>B305:F314</xm:sqref>
        </x14:conditionalFormatting>
        <x14:conditionalFormatting xmlns:xm="http://schemas.microsoft.com/office/excel/2006/main">
          <x14:cfRule type="expression" priority="208" id="{31A1A007-C32E-40AA-BAAD-E5003D69D96B}">
            <xm:f>'Datos ensayos LUM.'!$D$237</xm:f>
            <x14:dxf>
              <font>
                <strike/>
                <color theme="1"/>
              </font>
            </x14:dxf>
          </x14:cfRule>
          <xm:sqref>B323:F340</xm:sqref>
        </x14:conditionalFormatting>
        <x14:conditionalFormatting xmlns:xm="http://schemas.microsoft.com/office/excel/2006/main">
          <x14:cfRule type="expression" priority="206" id="{F64F9738-948C-49D2-BAB2-EEFE0B5E674E}">
            <xm:f>'Datos ensayos LUM.'!$L$237</xm:f>
            <x14:dxf>
              <font>
                <strike/>
                <color theme="1"/>
              </font>
            </x14:dxf>
          </x14:cfRule>
          <xm:sqref>B348:F350</xm:sqref>
        </x14:conditionalFormatting>
        <x14:conditionalFormatting xmlns:xm="http://schemas.microsoft.com/office/excel/2006/main">
          <x14:cfRule type="expression" priority="204" id="{205C002C-E90A-44AD-BE25-73F975A2239E}">
            <xm:f>'Datos ensayos LUM.'!$D$260</xm:f>
            <x14:dxf>
              <font>
                <strike/>
                <color theme="1"/>
              </font>
            </x14:dxf>
          </x14:cfRule>
          <xm:sqref>B359:F362</xm:sqref>
        </x14:conditionalFormatting>
        <x14:conditionalFormatting xmlns:xm="http://schemas.microsoft.com/office/excel/2006/main">
          <x14:cfRule type="expression" priority="65" id="{5A4CE70D-F053-4D3A-9FC9-3C85CBA2BE9D}">
            <xm:f>'Datos ensayos LUM.'!$CO$20</xm:f>
            <x14:dxf>
              <font>
                <color rgb="FFFF0000"/>
              </font>
            </x14:dxf>
          </x14:cfRule>
          <xm:sqref>B371:F371</xm:sqref>
        </x14:conditionalFormatting>
        <x14:conditionalFormatting xmlns:xm="http://schemas.microsoft.com/office/excel/2006/main">
          <x14:cfRule type="expression" priority="119" id="{A36C3612-F580-46CC-9D17-AD92EA394C72}">
            <xm:f>NOT('Datos ensayos LUM.'!$D$6)</xm:f>
            <x14:dxf>
              <font>
                <strike/>
                <color theme="1"/>
              </font>
            </x14:dxf>
          </x14:cfRule>
          <xm:sqref>B373:F373</xm:sqref>
        </x14:conditionalFormatting>
        <x14:conditionalFormatting xmlns:xm="http://schemas.microsoft.com/office/excel/2006/main">
          <x14:cfRule type="expression" priority="118" id="{7C89ADF9-9F87-4B19-B0AD-8956C71F6272}">
            <xm:f>NOT('Datos ensayos LUM.'!$E$6)</xm:f>
            <x14:dxf>
              <font>
                <strike/>
                <color theme="1"/>
              </font>
            </x14:dxf>
          </x14:cfRule>
          <xm:sqref>B375:F375</xm:sqref>
        </x14:conditionalFormatting>
        <x14:conditionalFormatting xmlns:xm="http://schemas.microsoft.com/office/excel/2006/main">
          <x14:cfRule type="expression" priority="112" id="{AA00AD2F-BB32-40DA-BDE9-F7284510DBF9}">
            <xm:f>NOT('Datos ensayos LUM.'!$F$6)</xm:f>
            <x14:dxf>
              <font>
                <strike/>
                <color theme="1"/>
              </font>
            </x14:dxf>
          </x14:cfRule>
          <x14:cfRule type="expression" priority="113" id="{F2BDA041-5DEE-476A-9AAE-6F44E0640665}">
            <xm:f>'Datos ensayos LUM.'!$CF$60</xm:f>
            <x14:dxf>
              <font>
                <color rgb="FFFF0000"/>
              </font>
            </x14:dxf>
          </x14:cfRule>
          <xm:sqref>B377:F377</xm:sqref>
        </x14:conditionalFormatting>
        <x14:conditionalFormatting xmlns:xm="http://schemas.microsoft.com/office/excel/2006/main">
          <x14:cfRule type="expression" priority="107" id="{3461BF21-A449-4A99-8239-EF403B20F6E9}">
            <xm:f>'Datos ensayos LUM.'!$CF$23</xm:f>
            <x14:dxf>
              <font>
                <strike/>
                <color theme="1"/>
              </font>
            </x14:dxf>
          </x14:cfRule>
          <xm:sqref>B378:F393</xm:sqref>
        </x14:conditionalFormatting>
        <x14:conditionalFormatting xmlns:xm="http://schemas.microsoft.com/office/excel/2006/main">
          <x14:cfRule type="expression" priority="110" id="{BFB8D18C-7146-46F5-BDF2-DB24180EB0CB}">
            <xm:f>'Datos ensayos LUM.'!$CF$37</xm:f>
            <x14:dxf>
              <font>
                <strike/>
                <color theme="1"/>
              </font>
            </x14:dxf>
          </x14:cfRule>
          <xm:sqref>B388:F393</xm:sqref>
        </x14:conditionalFormatting>
        <x14:conditionalFormatting xmlns:xm="http://schemas.microsoft.com/office/excel/2006/main">
          <x14:cfRule type="expression" priority="109" id="{64E6B934-DA76-47BD-A0A4-EDAB1CC09CCA}">
            <xm:f>'Datos ensayos LUM.'!$CF$45</xm:f>
            <x14:dxf>
              <font>
                <strike/>
                <color theme="1"/>
              </font>
            </x14:dxf>
          </x14:cfRule>
          <xm:sqref>B394:F399</xm:sqref>
        </x14:conditionalFormatting>
        <x14:conditionalFormatting xmlns:xm="http://schemas.microsoft.com/office/excel/2006/main">
          <x14:cfRule type="expression" priority="108" id="{0B611E6B-D0AC-4C06-82AE-13862649351A}">
            <xm:f>'Datos ensayos LUM.'!$CF$53</xm:f>
            <x14:dxf>
              <font>
                <strike/>
                <color theme="1"/>
              </font>
            </x14:dxf>
          </x14:cfRule>
          <xm:sqref>B400:F402 B403:D403 B404:C404 B405:B408</xm:sqref>
        </x14:conditionalFormatting>
        <x14:conditionalFormatting xmlns:xm="http://schemas.microsoft.com/office/excel/2006/main">
          <x14:cfRule type="expression" priority="57" id="{4E3F9F7C-A40B-4A20-8035-C0EC52F2087B}">
            <xm:f>'Datos ensayos LUM.'!$CF$75</xm:f>
            <x14:dxf>
              <font>
                <color rgb="FFFF0000"/>
              </font>
            </x14:dxf>
          </x14:cfRule>
          <xm:sqref>B410:F411</xm:sqref>
        </x14:conditionalFormatting>
        <x14:conditionalFormatting xmlns:xm="http://schemas.microsoft.com/office/excel/2006/main">
          <x14:cfRule type="expression" priority="104" id="{E9637BCC-4A17-4867-9378-6D0E1F99EB49}">
            <xm:f>NOT('Datos ensayos LUM.'!$G$6)</xm:f>
            <x14:dxf>
              <font>
                <strike/>
                <color theme="1"/>
              </font>
            </x14:dxf>
          </x14:cfRule>
          <xm:sqref>B410:F419</xm:sqref>
        </x14:conditionalFormatting>
        <x14:conditionalFormatting xmlns:xm="http://schemas.microsoft.com/office/excel/2006/main">
          <x14:cfRule type="expression" priority="95" id="{A1087783-B49B-4A48-A30D-27F12C0D9D57}">
            <xm:f>'Datos ensayos LUM.'!$CM$63</xm:f>
            <x14:dxf>
              <font>
                <color rgb="FFFF0000"/>
              </font>
            </x14:dxf>
          </x14:cfRule>
          <xm:sqref>B422:F422</xm:sqref>
        </x14:conditionalFormatting>
        <x14:conditionalFormatting xmlns:xm="http://schemas.microsoft.com/office/excel/2006/main">
          <x14:cfRule type="expression" priority="96" id="{E557F219-5415-417C-837E-F006650AAAB4}">
            <xm:f>NOT('Datos ensayos LUM.'!$H$6)</xm:f>
            <x14:dxf>
              <font>
                <strike/>
                <color theme="1"/>
              </font>
            </x14:dxf>
          </x14:cfRule>
          <xm:sqref>B422:F444</xm:sqref>
        </x14:conditionalFormatting>
        <x14:conditionalFormatting xmlns:xm="http://schemas.microsoft.com/office/excel/2006/main">
          <x14:cfRule type="expression" priority="94" id="{6B574654-2F81-4A27-BC71-4303950D23CD}">
            <xm:f>'Datos ensayos LUM.'!$CM$43</xm:f>
            <x14:dxf>
              <font>
                <color rgb="FFFF0000"/>
              </font>
            </x14:dxf>
          </x14:cfRule>
          <xm:sqref>B423:F423</xm:sqref>
        </x14:conditionalFormatting>
        <x14:conditionalFormatting xmlns:xm="http://schemas.microsoft.com/office/excel/2006/main">
          <x14:cfRule type="expression" priority="91" id="{73D78AD5-7441-4BEF-AE18-6D827C9AC27A}">
            <xm:f>'Datos ensayos LUM.'!$CM$38</xm:f>
            <x14:dxf>
              <font>
                <strike/>
                <color theme="1"/>
              </font>
            </x14:dxf>
          </x14:cfRule>
          <xm:sqref>B423:F428</xm:sqref>
        </x14:conditionalFormatting>
        <x14:conditionalFormatting xmlns:xm="http://schemas.microsoft.com/office/excel/2006/main">
          <x14:cfRule type="expression" priority="93" id="{7F020147-6467-4993-B3BF-9B9D7A09F42B}">
            <xm:f>'Datos ensayos LUM.'!$CM$51</xm:f>
            <x14:dxf>
              <font>
                <color rgb="FFFF0000"/>
              </font>
            </x14:dxf>
          </x14:cfRule>
          <xm:sqref>B430:F430</xm:sqref>
        </x14:conditionalFormatting>
        <x14:conditionalFormatting xmlns:xm="http://schemas.microsoft.com/office/excel/2006/main">
          <x14:cfRule type="expression" priority="90" id="{331E49D4-E1B2-473C-ADCB-BCA363C0B90E}">
            <xm:f>'Datos ensayos LUM.'!$CM$47</xm:f>
            <x14:dxf>
              <font>
                <strike/>
                <color theme="1"/>
              </font>
            </x14:dxf>
          </x14:cfRule>
          <xm:sqref>B430:F434</xm:sqref>
        </x14:conditionalFormatting>
        <x14:conditionalFormatting xmlns:xm="http://schemas.microsoft.com/office/excel/2006/main">
          <x14:cfRule type="expression" priority="92" id="{C5C740C3-B612-45FC-ABFC-AC3B556ACF44}">
            <xm:f>'Datos ensayos LUM.'!$CM$59</xm:f>
            <x14:dxf>
              <font>
                <color rgb="FFFF0000"/>
              </font>
            </x14:dxf>
          </x14:cfRule>
          <xm:sqref>B436:F436</xm:sqref>
        </x14:conditionalFormatting>
        <x14:conditionalFormatting xmlns:xm="http://schemas.microsoft.com/office/excel/2006/main">
          <x14:cfRule type="expression" priority="89" id="{38040B7E-60C5-4262-A4E8-3FAA6FECB303}">
            <xm:f>'Datos ensayos LUM.'!$CM$55</xm:f>
            <x14:dxf>
              <font>
                <strike/>
                <color theme="1"/>
              </font>
            </x14:dxf>
          </x14:cfRule>
          <xm:sqref>B436:F444</xm:sqref>
        </x14:conditionalFormatting>
        <x14:conditionalFormatting xmlns:xm="http://schemas.microsoft.com/office/excel/2006/main">
          <x14:cfRule type="expression" priority="82" id="{22286300-F328-4511-88FA-7D158CCB78B2}">
            <xm:f>NOT('Datos ensayos LUM.'!$J$6)</xm:f>
            <x14:dxf>
              <font>
                <strike/>
                <color theme="1"/>
              </font>
            </x14:dxf>
          </x14:cfRule>
          <x14:cfRule type="expression" priority="81" id="{00FD2D18-AAC8-4370-966E-2AFB7C854CF5}">
            <xm:f>'Datos ensayos LUM.'!$CM$85</xm:f>
            <x14:dxf>
              <font>
                <color rgb="FFFF0000"/>
              </font>
            </x14:dxf>
          </x14:cfRule>
          <xm:sqref>B447:F447</xm:sqref>
        </x14:conditionalFormatting>
        <x14:conditionalFormatting xmlns:xm="http://schemas.microsoft.com/office/excel/2006/main">
          <x14:cfRule type="expression" priority="80" id="{E8DC607D-4794-4DCF-A7C5-8B4005531494}">
            <xm:f>'Datos ensayos LUM.'!$CM$75</xm:f>
            <x14:dxf>
              <font>
                <color rgb="FFFF0000"/>
              </font>
            </x14:dxf>
          </x14:cfRule>
          <xm:sqref>B448:F448</xm:sqref>
        </x14:conditionalFormatting>
        <x14:conditionalFormatting xmlns:xm="http://schemas.microsoft.com/office/excel/2006/main">
          <x14:cfRule type="expression" priority="79" id="{04491F71-FC9F-4CDA-94D2-14D47F9CA865}">
            <xm:f>'Datos ensayos LUM.'!$CM$71</xm:f>
            <x14:dxf>
              <font>
                <strike/>
                <color theme="1"/>
              </font>
            </x14:dxf>
          </x14:cfRule>
          <xm:sqref>B448:F453</xm:sqref>
        </x14:conditionalFormatting>
        <x14:conditionalFormatting xmlns:xm="http://schemas.microsoft.com/office/excel/2006/main">
          <x14:cfRule type="expression" priority="78" id="{6EA8E557-9FDF-44AE-98D0-201FFD1580F9}">
            <xm:f>'Datos ensayos LUM.'!$CM$83</xm:f>
            <x14:dxf>
              <font>
                <color rgb="FFFF0000"/>
              </font>
            </x14:dxf>
          </x14:cfRule>
          <xm:sqref>B454:F454</xm:sqref>
        </x14:conditionalFormatting>
        <x14:conditionalFormatting xmlns:xm="http://schemas.microsoft.com/office/excel/2006/main">
          <x14:cfRule type="expression" priority="77" id="{5138FF0A-3D62-45D1-BC39-0FB4FBB0074D}">
            <xm:f>'Datos ensayos LUM.'!$CM$79</xm:f>
            <x14:dxf>
              <font>
                <strike/>
                <color theme="1"/>
              </font>
            </x14:dxf>
          </x14:cfRule>
          <xm:sqref>B454:F459</xm:sqref>
        </x14:conditionalFormatting>
        <x14:conditionalFormatting xmlns:xm="http://schemas.microsoft.com/office/excel/2006/main">
          <x14:cfRule type="expression" priority="76" id="{E9CDE15B-0348-4B3E-A167-A2F67118E95E}">
            <xm:f>NOT('Datos ensayos LUM.'!$K$6)</xm:f>
            <x14:dxf>
              <font>
                <strike/>
                <color theme="1"/>
              </font>
            </x14:dxf>
          </x14:cfRule>
          <x14:cfRule type="expression" priority="75" id="{51EAFA90-36F4-425F-BE59-8E2E82B66364}">
            <xm:f>'Datos ensayos LUM.'!$CM$96</xm:f>
            <x14:dxf>
              <font>
                <color rgb="FFFF0000"/>
              </font>
            </x14:dxf>
          </x14:cfRule>
          <xm:sqref>B467:F467</xm:sqref>
        </x14:conditionalFormatting>
        <x14:conditionalFormatting xmlns:xm="http://schemas.microsoft.com/office/excel/2006/main">
          <x14:cfRule type="expression" priority="74" id="{1DE60F62-230D-4325-A5D8-BF9290EBD0B5}">
            <xm:f>'Datos ensayos LUM.'!$CM$96</xm:f>
            <x14:dxf>
              <font>
                <strike val="0"/>
                <color rgb="FFFF0000"/>
              </font>
            </x14:dxf>
          </x14:cfRule>
          <xm:sqref>B468:F468</xm:sqref>
        </x14:conditionalFormatting>
        <x14:conditionalFormatting xmlns:xm="http://schemas.microsoft.com/office/excel/2006/main">
          <x14:cfRule type="expression" priority="73" id="{68C98822-0FF1-4DFE-A6AF-026BD1108908}">
            <xm:f>'Datos ensayos LUM.'!$CM$92</xm:f>
            <x14:dxf>
              <font>
                <strike/>
                <color theme="1"/>
              </font>
            </x14:dxf>
          </x14:cfRule>
          <xm:sqref>B468:F478</xm:sqref>
        </x14:conditionalFormatting>
        <x14:conditionalFormatting xmlns:xm="http://schemas.microsoft.com/office/excel/2006/main">
          <x14:cfRule type="expression" priority="71" id="{8A3A4A8F-0E93-420F-BED3-14D21C61C4B1}">
            <xm:f>'Datos ensayos LUM.'!$CF$108</xm:f>
            <x14:dxf>
              <font>
                <color rgb="FFFF0000"/>
              </font>
            </x14:dxf>
          </x14:cfRule>
          <x14:cfRule type="expression" priority="72" id="{FA059754-2C19-459B-A90A-4B23FF8E1DE2}">
            <xm:f>NOT('Datos ensayos LUM.'!$L$6)</xm:f>
            <x14:dxf>
              <font>
                <strike/>
                <color theme="1"/>
              </font>
            </x14:dxf>
          </x14:cfRule>
          <xm:sqref>B480:F480</xm:sqref>
        </x14:conditionalFormatting>
        <x14:conditionalFormatting xmlns:xm="http://schemas.microsoft.com/office/excel/2006/main">
          <x14:cfRule type="expression" priority="70" id="{8851ABC1-EE38-4F73-956A-01719224D7E5}">
            <xm:f>'Datos ensayos LUM.'!$CF$96</xm:f>
            <x14:dxf>
              <font>
                <color rgb="FFFF0000"/>
              </font>
            </x14:dxf>
          </x14:cfRule>
          <xm:sqref>B481:F481</xm:sqref>
        </x14:conditionalFormatting>
        <x14:conditionalFormatting xmlns:xm="http://schemas.microsoft.com/office/excel/2006/main">
          <x14:cfRule type="expression" priority="69" id="{496F249D-56B2-4647-A7B1-600D0CEE08CB}">
            <xm:f>'Datos ensayos LUM.'!$CF$92</xm:f>
            <x14:dxf>
              <font>
                <strike/>
                <color auto="1"/>
              </font>
            </x14:dxf>
          </x14:cfRule>
          <xm:sqref>B481:F486</xm:sqref>
        </x14:conditionalFormatting>
        <x14:conditionalFormatting xmlns:xm="http://schemas.microsoft.com/office/excel/2006/main">
          <x14:cfRule type="expression" priority="68" id="{347AA4F0-A204-4B39-B0F7-EC82A70686D5}">
            <xm:f>'Datos ensayos LUM.'!$CF$105</xm:f>
            <x14:dxf>
              <font>
                <color rgb="FFFF0000"/>
              </font>
            </x14:dxf>
          </x14:cfRule>
          <xm:sqref>B487:F487</xm:sqref>
        </x14:conditionalFormatting>
        <x14:conditionalFormatting xmlns:xm="http://schemas.microsoft.com/office/excel/2006/main">
          <x14:cfRule type="expression" priority="67" id="{98C20B7A-1D9A-4046-A34B-8E82F2E16BE0}">
            <xm:f>'Datos ensayos LUM.'!$CF$101</xm:f>
            <x14:dxf>
              <font>
                <strike/>
                <color theme="1"/>
              </font>
            </x14:dxf>
          </x14:cfRule>
          <xm:sqref>B487:F496</xm:sqref>
        </x14:conditionalFormatting>
        <x14:conditionalFormatting xmlns:xm="http://schemas.microsoft.com/office/excel/2006/main">
          <x14:cfRule type="expression" priority="63" id="{9239490C-BE9D-48E1-962E-6406ADAF5BC7}">
            <xm:f>'Datos ensayos LUM.'!$CF$154</xm:f>
            <x14:dxf>
              <font>
                <color rgb="FFFF0000"/>
              </font>
            </x14:dxf>
          </x14:cfRule>
          <xm:sqref>B503:F503</xm:sqref>
        </x14:conditionalFormatting>
        <x14:conditionalFormatting xmlns:xm="http://schemas.microsoft.com/office/excel/2006/main">
          <x14:cfRule type="expression" priority="64" id="{922EBDAF-B889-4BB4-A0D0-49B0DA6E4F36}">
            <xm:f>NOT('Datos ensayos LUM.'!$M$6)</xm:f>
            <x14:dxf>
              <font>
                <strike/>
              </font>
            </x14:dxf>
          </x14:cfRule>
          <xm:sqref>B503:F533</xm:sqref>
        </x14:conditionalFormatting>
        <x14:conditionalFormatting xmlns:xm="http://schemas.microsoft.com/office/excel/2006/main">
          <x14:cfRule type="expression" priority="61" id="{3F2BCF13-8035-48C2-A60F-30185EDF0782}">
            <xm:f>'Datos ensayos LUM.'!$CF$137</xm:f>
            <x14:dxf>
              <font>
                <strike/>
                <color theme="1"/>
              </font>
            </x14:dxf>
          </x14:cfRule>
          <xm:sqref>B504:F515</xm:sqref>
        </x14:conditionalFormatting>
        <x14:conditionalFormatting xmlns:xm="http://schemas.microsoft.com/office/excel/2006/main">
          <x14:cfRule type="expression" priority="60" id="{2D1B9F5D-12DE-4286-B1B1-AF1DDB0A80C0}">
            <xm:f>'Datos ensayos LUM.'!$CF$135</xm:f>
            <x14:dxf>
              <font>
                <strike/>
                <color theme="1"/>
              </font>
            </x14:dxf>
          </x14:cfRule>
          <xm:sqref>B505:F514</xm:sqref>
        </x14:conditionalFormatting>
        <x14:conditionalFormatting xmlns:xm="http://schemas.microsoft.com/office/excel/2006/main">
          <x14:cfRule type="expression" priority="58" id="{1642C583-A163-41BD-8E5D-D8B241BFFC45}">
            <xm:f>'Datos ensayos LUM.'!$CF$146</xm:f>
            <x14:dxf>
              <font>
                <strike/>
                <color theme="1"/>
              </font>
            </x14:dxf>
          </x14:cfRule>
          <xm:sqref>B521:F529</xm:sqref>
        </x14:conditionalFormatting>
        <x14:conditionalFormatting xmlns:xm="http://schemas.microsoft.com/office/excel/2006/main">
          <x14:cfRule type="expression" priority="159" id="{622D2E08-8470-4699-9EA1-3E21865B720F}">
            <xm:f>'Datos ensayos LUM.'!$BN$20</xm:f>
            <x14:dxf>
              <font>
                <strike/>
                <color theme="1"/>
              </font>
            </x14:dxf>
          </x14:cfRule>
          <xm:sqref>B538:F562</xm:sqref>
        </x14:conditionalFormatting>
        <x14:conditionalFormatting xmlns:xm="http://schemas.microsoft.com/office/excel/2006/main">
          <x14:cfRule type="expression" priority="161" id="{2289FCD4-514C-4C19-BE59-47E67DC6DE55}">
            <xm:f>'Datos ensayos LUM.'!$BN$22</xm:f>
            <x14:dxf>
              <font>
                <strike/>
                <color theme="1"/>
              </font>
            </x14:dxf>
          </x14:cfRule>
          <xm:sqref>B545:F549</xm:sqref>
        </x14:conditionalFormatting>
        <x14:conditionalFormatting xmlns:xm="http://schemas.microsoft.com/office/excel/2006/main">
          <x14:cfRule type="expression" priority="160" id="{F5867AC2-0D90-4286-B617-194AD3F03973}">
            <xm:f>'Datos ensayos LUM.'!$BN$23</xm:f>
            <x14:dxf>
              <font>
                <strike/>
                <color theme="1"/>
              </font>
            </x14:dxf>
          </x14:cfRule>
          <xm:sqref>B557:F561</xm:sqref>
        </x14:conditionalFormatting>
        <x14:conditionalFormatting xmlns:xm="http://schemas.microsoft.com/office/excel/2006/main">
          <x14:cfRule type="expression" priority="258" id="{8192C3AC-F197-42D6-9BE5-58D21155D201}">
            <xm:f>'Datos ensayos LUM.'!$T$34</xm:f>
            <x14:dxf>
              <font>
                <color rgb="FFFF0000"/>
              </font>
            </x14:dxf>
          </x14:cfRule>
          <xm:sqref>B570:F570</xm:sqref>
        </x14:conditionalFormatting>
        <x14:conditionalFormatting xmlns:xm="http://schemas.microsoft.com/office/excel/2006/main">
          <x14:cfRule type="expression" priority="202" id="{CE0B7AE3-7B38-4C0D-8715-BE1454EE7312}">
            <xm:f>'Datos ensayos LUM.'!$T$22</xm:f>
            <x14:dxf>
              <font>
                <strike/>
                <color theme="1"/>
              </font>
            </x14:dxf>
          </x14:cfRule>
          <xm:sqref>B570:F581</xm:sqref>
        </x14:conditionalFormatting>
        <x14:conditionalFormatting xmlns:xm="http://schemas.microsoft.com/office/excel/2006/main">
          <x14:cfRule type="expression" priority="195" id="{14B5B055-62BC-497D-9147-6E29F7087D8F}">
            <xm:f>'Datos ensayos LUM.'!$AB$20</xm:f>
            <x14:dxf>
              <font>
                <strike/>
                <color theme="1"/>
              </font>
            </x14:dxf>
          </x14:cfRule>
          <xm:sqref>B590:F599 B608:F612 C613:F614</xm:sqref>
        </x14:conditionalFormatting>
        <x14:conditionalFormatting xmlns:xm="http://schemas.microsoft.com/office/excel/2006/main">
          <x14:cfRule type="expression" priority="194" id="{A2A77EF8-822D-4716-9CD3-CB7233C119F7}">
            <xm:f>'Datos ensayos LUM.'!$AB$22</xm:f>
            <x14:dxf>
              <font>
                <strike/>
                <color theme="1"/>
              </font>
            </x14:dxf>
          </x14:cfRule>
          <xm:sqref>B593:F599</xm:sqref>
        </x14:conditionalFormatting>
        <x14:conditionalFormatting xmlns:xm="http://schemas.microsoft.com/office/excel/2006/main">
          <x14:cfRule type="expression" priority="193" id="{EE57CB20-B4FB-48D3-8F29-3005DFA55E5E}">
            <xm:f>'Datos ensayos LUM.'!$AB$27</xm:f>
            <x14:dxf>
              <font>
                <strike/>
                <color theme="1"/>
              </font>
            </x14:dxf>
          </x14:cfRule>
          <xm:sqref>B608:F612 C613:F614 B615:F615</xm:sqref>
        </x14:conditionalFormatting>
        <x14:conditionalFormatting xmlns:xm="http://schemas.microsoft.com/office/excel/2006/main">
          <x14:cfRule type="expression" priority="123" id="{754EBE74-AFCB-425A-998C-77158C0B5461}">
            <xm:f>'Datos ensayos LUM.'!$AB$44</xm:f>
            <x14:dxf>
              <font>
                <strike/>
                <color theme="1"/>
              </font>
            </x14:dxf>
          </x14:cfRule>
          <xm:sqref>B623:F633</xm:sqref>
        </x14:conditionalFormatting>
        <x14:conditionalFormatting xmlns:xm="http://schemas.microsoft.com/office/excel/2006/main">
          <x14:cfRule type="expression" priority="182" id="{A5C936E5-6A99-4634-9CEF-8379D6DE9DE9}">
            <xm:f>'Datos ensayos LUM.'!$AJ$20</xm:f>
            <x14:dxf>
              <font>
                <strike/>
                <color theme="1"/>
              </font>
            </x14:dxf>
          </x14:cfRule>
          <xm:sqref>B641:F643 B644:E644 B645:F663 B672:F676 B684:F687 B696:F699</xm:sqref>
        </x14:conditionalFormatting>
        <x14:conditionalFormatting xmlns:xm="http://schemas.microsoft.com/office/excel/2006/main">
          <x14:cfRule type="expression" priority="186" id="{F4129E33-F510-43CF-B1B9-6B21097F58CF}">
            <xm:f>'Datos ensayos LUM.'!$AJ$41</xm:f>
            <x14:dxf>
              <font>
                <strike/>
                <color theme="1"/>
              </font>
            </x14:dxf>
          </x14:cfRule>
          <xm:sqref>B660:F663</xm:sqref>
        </x14:conditionalFormatting>
        <x14:conditionalFormatting xmlns:xm="http://schemas.microsoft.com/office/excel/2006/main">
          <x14:cfRule type="expression" priority="189" id="{A61FC8FC-6D3D-42D4-BFC3-574624F8FD97}">
            <xm:f>'Datos ensayos LUM.'!$AJ$48</xm:f>
            <x14:dxf>
              <font>
                <color rgb="FFFF0000"/>
              </font>
            </x14:dxf>
          </x14:cfRule>
          <xm:sqref>B672:F672</xm:sqref>
        </x14:conditionalFormatting>
        <x14:conditionalFormatting xmlns:xm="http://schemas.microsoft.com/office/excel/2006/main">
          <x14:cfRule type="expression" priority="185" id="{01AB5AAA-06F7-4174-9E16-986492F35611}">
            <xm:f>'Datos ensayos LUM.'!$AJ$46</xm:f>
            <x14:dxf>
              <font>
                <strike/>
                <color theme="1"/>
              </font>
            </x14:dxf>
          </x14:cfRule>
          <xm:sqref>B672:F676</xm:sqref>
        </x14:conditionalFormatting>
        <x14:conditionalFormatting xmlns:xm="http://schemas.microsoft.com/office/excel/2006/main">
          <x14:cfRule type="expression" priority="184" id="{E739336B-980C-4F5F-BD77-F34FCB737CF3}">
            <xm:f>'Datos ensayos LUM.'!$AJ$51</xm:f>
            <x14:dxf>
              <font>
                <strike/>
                <color theme="1"/>
              </font>
            </x14:dxf>
          </x14:cfRule>
          <xm:sqref>B684:F687</xm:sqref>
        </x14:conditionalFormatting>
        <x14:conditionalFormatting xmlns:xm="http://schemas.microsoft.com/office/excel/2006/main">
          <x14:cfRule type="expression" priority="183" id="{DFDCF039-A912-4FBF-B30E-0D71F8750B80}">
            <xm:f>'Datos ensayos LUM.'!$AJ$56</xm:f>
            <x14:dxf>
              <font>
                <strike/>
                <color theme="1"/>
              </font>
            </x14:dxf>
          </x14:cfRule>
          <xm:sqref>B696:F699</xm:sqref>
        </x14:conditionalFormatting>
        <x14:conditionalFormatting xmlns:xm="http://schemas.microsoft.com/office/excel/2006/main">
          <x14:cfRule type="expression" priority="175" id="{26AB61F3-18E5-47B2-BDBC-944AECAE6F8C}">
            <xm:f>'Datos ensayos LUM.'!$AR$83</xm:f>
            <x14:dxf>
              <font>
                <color rgb="FFFF0000"/>
              </font>
            </x14:dxf>
          </x14:cfRule>
          <xm:sqref>B709:F709</xm:sqref>
        </x14:conditionalFormatting>
        <x14:conditionalFormatting xmlns:xm="http://schemas.microsoft.com/office/excel/2006/main">
          <x14:cfRule type="expression" priority="173" id="{59A25A2A-84CB-46D0-9148-68B21F5DE3E6}">
            <xm:f>'Datos ensayos LUM.'!$AR$20</xm:f>
            <x14:dxf>
              <font>
                <strike/>
                <color theme="1"/>
              </font>
            </x14:dxf>
          </x14:cfRule>
          <xm:sqref>B709:F753 F754:F756 B754:D756 B757:F765</xm:sqref>
        </x14:conditionalFormatting>
        <x14:conditionalFormatting xmlns:xm="http://schemas.microsoft.com/office/excel/2006/main">
          <x14:cfRule type="expression" priority="180" id="{6A49A529-14A6-46C7-8EFE-06834C869924}">
            <xm:f>'Datos ensayos LUM.'!$AR$55</xm:f>
            <x14:dxf>
              <font>
                <strike/>
                <color theme="1"/>
              </font>
            </x14:dxf>
          </x14:cfRule>
          <xm:sqref>B721:F724</xm:sqref>
        </x14:conditionalFormatting>
        <x14:conditionalFormatting xmlns:xm="http://schemas.microsoft.com/office/excel/2006/main">
          <x14:cfRule type="expression" priority="178" id="{08AD5343-5E23-4AA8-A534-E83033913DA4}">
            <xm:f>'Datos ensayos LUM.'!$AR$55</xm:f>
            <x14:dxf>
              <font>
                <strike/>
                <color theme="1"/>
              </font>
            </x14:dxf>
          </x14:cfRule>
          <xm:sqref>B736:F739</xm:sqref>
        </x14:conditionalFormatting>
        <x14:conditionalFormatting xmlns:xm="http://schemas.microsoft.com/office/excel/2006/main">
          <x14:cfRule type="expression" priority="176" id="{4C1962F8-AE32-47EB-894C-9527AB4AAE75}">
            <xm:f>'Datos ensayos LUM.'!$AR$76</xm:f>
            <x14:dxf>
              <font>
                <strike/>
                <color theme="1"/>
              </font>
            </x14:dxf>
          </x14:cfRule>
          <xm:sqref>B747:F753 F754:F756 B754:D756 B757:F760</xm:sqref>
        </x14:conditionalFormatting>
        <x14:conditionalFormatting xmlns:xm="http://schemas.microsoft.com/office/excel/2006/main">
          <x14:cfRule type="expression" priority="166" id="{D237D8A1-5D01-439D-A72F-7426811166DB}">
            <xm:f>'Datos ensayos LUM.'!$BE$61</xm:f>
            <x14:dxf>
              <font>
                <color rgb="FFFF0000"/>
              </font>
            </x14:dxf>
          </x14:cfRule>
          <xm:sqref>B769:F769</xm:sqref>
        </x14:conditionalFormatting>
        <x14:conditionalFormatting xmlns:xm="http://schemas.microsoft.com/office/excel/2006/main">
          <x14:cfRule type="expression" priority="169" id="{A10237C2-B4BE-4BB7-AEED-184C62041C4A}">
            <xm:f>'Datos ensayos LUM.'!$BE$46</xm:f>
            <x14:dxf>
              <font>
                <strike/>
                <color theme="1"/>
              </font>
            </x14:dxf>
          </x14:cfRule>
          <xm:sqref>B797:F819</xm:sqref>
        </x14:conditionalFormatting>
        <x14:conditionalFormatting xmlns:xm="http://schemas.microsoft.com/office/excel/2006/main">
          <x14:cfRule type="expression" priority="167" id="{EA99D15A-97F8-4619-B3B1-D5078E3228C9}">
            <xm:f>'Datos ensayos LUM.'!$BE$54</xm:f>
            <x14:dxf>
              <font>
                <strike/>
                <color theme="1"/>
              </font>
            </x14:dxf>
          </x14:cfRule>
          <xm:sqref>B822:F832</xm:sqref>
        </x14:conditionalFormatting>
        <x14:conditionalFormatting xmlns:xm="http://schemas.microsoft.com/office/excel/2006/main">
          <x14:cfRule type="expression" priority="134" id="{9ACB0ACD-975C-4CC7-8678-E43CB9A00BD6}">
            <xm:f>'Datos ensayos LUM.'!$BW$27</xm:f>
            <x14:dxf>
              <font>
                <color rgb="FFFF0000"/>
              </font>
            </x14:dxf>
          </x14:cfRule>
          <xm:sqref>B844:F844</xm:sqref>
        </x14:conditionalFormatting>
        <x14:conditionalFormatting xmlns:xm="http://schemas.microsoft.com/office/excel/2006/main">
          <x14:cfRule type="expression" priority="131" id="{EC1C84C6-D856-4353-9A09-9BD96159950F}">
            <xm:f>'Datos ensayos LUM.'!$BW$30</xm:f>
            <x14:dxf>
              <font>
                <strike/>
                <color theme="1"/>
              </font>
            </x14:dxf>
          </x14:cfRule>
          <xm:sqref>B908:F918 E919:F919 F920:F922 B922:D922 B923:F925 D926:D927 F926:F927 D928:F928 E929:E930 B930 B931:E931 B932:F938 B939:C940 B941:F946</xm:sqref>
        </x14:conditionalFormatting>
        <x14:conditionalFormatting xmlns:xm="http://schemas.microsoft.com/office/excel/2006/main">
          <x14:cfRule type="expression" priority="125" id="{20141B3F-D981-4BC6-A584-277DB04D3785}">
            <xm:f>'Datos ensayos LUM.'!$BW$20</xm:f>
            <x14:dxf>
              <font>
                <strike/>
                <color theme="1"/>
              </font>
            </x14:dxf>
          </x14:cfRule>
          <xm:sqref>B941:F963 F864:F866 E869:E872 B873:F885 B842:F853 E854:F854 B854:C855 F855:F857 B856:D857 B858:F861 B862:E863 B864:D864 B865:B866 B867:F867 B868:D868 B869:B872 B886:E886 B887 E887 B888:F888 B889:D889 B890:F893 B894:C895 B896:F918 E919:F919 B919:C920 F920:F922 B921:D922 B923:F925 D926:D927 F926:F927 D928:F928 E929:E930 B930 B931:E931 B932:F938 B939:C940 B964:C964 E964:F964 F965:F967 B965:B973 F969:F973 B974:F987 B988:C988 F988:F990 B989:B990 B991:F997</xm:sqref>
        </x14:conditionalFormatting>
        <x14:conditionalFormatting xmlns:xm="http://schemas.microsoft.com/office/excel/2006/main">
          <x14:cfRule type="expression" priority="129" id="{D6E1BEA2-913D-4FB9-B299-7A9AE4E6C1FC}">
            <xm:f>'Datos ensayos LUM.'!$BW$46</xm:f>
            <x14:dxf>
              <font>
                <strike/>
                <color theme="1"/>
              </font>
            </x14:dxf>
          </x14:cfRule>
          <xm:sqref>B955:F963 B964:C964 E964:F964 F965:F967 B965:B973 F969:F973 B974:F976</xm:sqref>
        </x14:conditionalFormatting>
        <x14:conditionalFormatting xmlns:xm="http://schemas.microsoft.com/office/excel/2006/main">
          <x14:cfRule type="expression" priority="127" id="{3E33B2D8-2B85-429C-9928-B71734B92F27}">
            <xm:f>'Datos ensayos LUM.'!$BW$62</xm:f>
            <x14:dxf>
              <font>
                <strike/>
                <color theme="1"/>
              </font>
            </x14:dxf>
          </x14:cfRule>
          <xm:sqref>B985:F987 B988:C988 F988:F990 B989:B990</xm:sqref>
        </x14:conditionalFormatting>
        <x14:conditionalFormatting xmlns:xm="http://schemas.microsoft.com/office/excel/2006/main">
          <x14:cfRule type="expression" priority="55" id="{3611CE0E-5F7C-43C9-B854-F22DD9250EF4}">
            <xm:f>'Datos ensayos LUM.'!$BR$41</xm:f>
            <x14:dxf>
              <font>
                <color rgb="FFFF0000"/>
              </font>
            </x14:dxf>
          </x14:cfRule>
          <xm:sqref>B1000:F1000</xm:sqref>
        </x14:conditionalFormatting>
        <x14:conditionalFormatting xmlns:xm="http://schemas.microsoft.com/office/excel/2006/main">
          <x14:cfRule type="expression" priority="56" id="{C5648027-39E4-4032-AC8E-7D3AC10B1682}">
            <xm:f>'Datos ensayos LUM.'!$BN$41</xm:f>
            <x14:dxf>
              <font>
                <strike/>
                <color theme="1"/>
              </font>
            </x14:dxf>
          </x14:cfRule>
          <xm:sqref>B1000:F1050</xm:sqref>
        </x14:conditionalFormatting>
        <x14:conditionalFormatting xmlns:xm="http://schemas.microsoft.com/office/excel/2006/main">
          <x14:cfRule type="expression" priority="51" id="{2F46853D-BFCB-4E39-BD8E-A670A5B08223}">
            <xm:f>'Datos ensayos LUM.'!$BN$45</xm:f>
            <x14:dxf>
              <font>
                <strike/>
                <color theme="1"/>
              </font>
            </x14:dxf>
          </x14:cfRule>
          <xm:sqref>B1002:F1015</xm:sqref>
        </x14:conditionalFormatting>
        <x14:conditionalFormatting xmlns:xm="http://schemas.microsoft.com/office/excel/2006/main">
          <x14:cfRule type="expression" priority="50" id="{0952B6D0-ED82-449C-87CD-E4D2385430D0}">
            <xm:f>'Datos ensayos LUM.'!$BN$77</xm:f>
            <x14:dxf>
              <font>
                <color rgb="FFFF0000"/>
              </font>
            </x14:dxf>
          </x14:cfRule>
          <xm:sqref>B1023:F1023</xm:sqref>
        </x14:conditionalFormatting>
        <x14:conditionalFormatting xmlns:xm="http://schemas.microsoft.com/office/excel/2006/main">
          <x14:cfRule type="expression" priority="46" id="{7960DA12-15A9-4B66-85C2-16AD486A3E20}">
            <xm:f>'Datos ensayos LUM.'!$BN$60</xm:f>
            <x14:dxf>
              <font>
                <strike/>
                <color theme="1"/>
              </font>
            </x14:dxf>
          </x14:cfRule>
          <xm:sqref>B1023:F1043</xm:sqref>
        </x14:conditionalFormatting>
        <x14:conditionalFormatting xmlns:xm="http://schemas.microsoft.com/office/excel/2006/main">
          <x14:cfRule type="expression" priority="45" id="{6C361950-D7A8-4D6F-B647-D6EF3CF60DC7}">
            <xm:f>'Datos ensayos LUM.'!$BN$67</xm:f>
            <x14:dxf>
              <font>
                <strike/>
                <color theme="1"/>
              </font>
            </x14:dxf>
          </x14:cfRule>
          <xm:sqref>B1031:F1037</xm:sqref>
        </x14:conditionalFormatting>
        <x14:conditionalFormatting xmlns:xm="http://schemas.microsoft.com/office/excel/2006/main">
          <x14:cfRule type="expression" priority="44" id="{1FDA365F-CE87-4362-A2A3-C3130A69C6A8}">
            <xm:f>'Datos ensayos LUM.'!$BN$73</xm:f>
            <x14:dxf>
              <font>
                <strike/>
                <color theme="1"/>
              </font>
            </x14:dxf>
          </x14:cfRule>
          <xm:sqref>B1038:F1043</xm:sqref>
        </x14:conditionalFormatting>
        <x14:conditionalFormatting xmlns:xm="http://schemas.microsoft.com/office/excel/2006/main">
          <x14:cfRule type="expression" priority="43" id="{54C42918-BB80-4E7A-AA14-34A4F17F4C08}">
            <xm:f>#REF!</xm:f>
            <x14:dxf>
              <font>
                <color rgb="FFFF0000"/>
              </font>
            </x14:dxf>
          </x14:cfRule>
          <xm:sqref>B1054:F1054</xm:sqref>
        </x14:conditionalFormatting>
        <x14:conditionalFormatting xmlns:xm="http://schemas.microsoft.com/office/excel/2006/main">
          <x14:cfRule type="expression" priority="42" id="{A3F3024E-076F-4595-8603-2C31280A7D64}">
            <xm:f>#REF!</xm:f>
            <x14:dxf>
              <font>
                <strike/>
                <color theme="1"/>
              </font>
            </x14:dxf>
          </x14:cfRule>
          <xm:sqref>B1055:F1068 E1069 B1069:C1071 C1069:C1072 E1071 B1072:E1072 B1073:F1073 B1074:C1074 B1075:B1077 B1078:F1114</xm:sqref>
        </x14:conditionalFormatting>
        <x14:conditionalFormatting xmlns:xm="http://schemas.microsoft.com/office/excel/2006/main">
          <x14:cfRule type="expression" priority="247" id="{040A0870-C7E3-4F53-908C-4EA239608405}">
            <xm:f>'Datos ensayos LUM.'!$D$85</xm:f>
            <x14:dxf>
              <font>
                <color rgb="FFFF0000"/>
              </font>
            </x14:dxf>
          </x14:cfRule>
          <xm:sqref>C85</xm:sqref>
        </x14:conditionalFormatting>
        <x14:conditionalFormatting xmlns:xm="http://schemas.microsoft.com/office/excel/2006/main">
          <x14:cfRule type="expression" priority="246" id="{E610175C-902F-4E1C-AE06-10DB5ED75561}">
            <xm:f>'Datos ensayos LUM.'!$L$81</xm:f>
            <x14:dxf>
              <font>
                <color rgb="FFFF0000"/>
              </font>
            </x14:dxf>
          </x14:cfRule>
          <xm:sqref>C94</xm:sqref>
        </x14:conditionalFormatting>
        <x14:conditionalFormatting xmlns:xm="http://schemas.microsoft.com/office/excel/2006/main">
          <x14:cfRule type="expression" priority="210" id="{5F905340-10CC-4055-95C8-CB467E5A00C8}">
            <xm:f>NOT('Datos ensayos LUM.'!$D$223)</xm:f>
            <x14:dxf>
              <font>
                <color rgb="FFFF0000"/>
              </font>
            </x14:dxf>
          </x14:cfRule>
          <xm:sqref>C308</xm:sqref>
        </x14:conditionalFormatting>
        <x14:conditionalFormatting xmlns:xm="http://schemas.microsoft.com/office/excel/2006/main">
          <x14:cfRule type="expression" priority="24" id="{1421013D-AF91-4371-A059-48C9801D395C}">
            <xm:f>'Datos ensayos LUM.'!$BE$39</xm:f>
            <x14:dxf>
              <font>
                <strike/>
                <color theme="1"/>
              </font>
            </x14:dxf>
          </x14:cfRule>
          <x14:cfRule type="expression" priority="23" id="{3544CBBD-F63E-4CDD-A152-C877D3EEFE38}">
            <xm:f>'Datos ensayos LUM.'!$BE$20</xm:f>
            <x14:dxf>
              <font>
                <strike/>
                <color theme="1"/>
              </font>
            </x14:dxf>
          </x14:cfRule>
          <xm:sqref>C926:C929</xm:sqref>
        </x14:conditionalFormatting>
        <x14:conditionalFormatting xmlns:xm="http://schemas.microsoft.com/office/excel/2006/main">
          <x14:cfRule type="expression" priority="29" id="{47B0A646-EC38-4EDD-AB10-C2484A049CB9}">
            <xm:f>'Datos ensayos LUM.'!$BE$39</xm:f>
            <x14:dxf>
              <font>
                <strike/>
                <color theme="1"/>
              </font>
            </x14:dxf>
          </x14:cfRule>
          <x14:cfRule type="expression" priority="28" id="{2398C2F3-A929-41D0-A4E2-3D1636DDDD40}">
            <xm:f>'Datos ensayos LUM.'!$BE$20</xm:f>
            <x14:dxf>
              <font>
                <strike/>
                <color theme="1"/>
              </font>
            </x14:dxf>
          </x14:cfRule>
          <x14:cfRule type="expression" priority="27" id="{F6241BF8-C85D-4252-B3D1-B25B699629A5}">
            <xm:f>'Datos ensayos LUM.'!$BW$30</xm:f>
            <x14:dxf>
              <font>
                <strike/>
                <color theme="1"/>
              </font>
            </x14:dxf>
          </x14:cfRule>
          <x14:cfRule type="expression" priority="26" id="{70653BEF-6EA4-42D1-A9E4-32942F8D8B28}">
            <xm:f>'Datos ensayos LUM.'!$BW$20</xm:f>
            <x14:dxf>
              <font>
                <strike/>
                <color theme="1"/>
              </font>
            </x14:dxf>
          </x14:cfRule>
          <xm:sqref>C968</xm:sqref>
        </x14:conditionalFormatting>
        <x14:conditionalFormatting xmlns:xm="http://schemas.microsoft.com/office/excel/2006/main">
          <x14:cfRule type="expression" priority="240" id="{213E10EF-1034-4780-BC06-66D508F341E1}">
            <xm:f>'Datos ensayos LUM.'!$D$140</xm:f>
            <x14:dxf>
              <font>
                <strike/>
              </font>
            </x14:dxf>
          </x14:cfRule>
          <xm:sqref>C169:F178</xm:sqref>
        </x14:conditionalFormatting>
        <x14:conditionalFormatting xmlns:xm="http://schemas.microsoft.com/office/excel/2006/main">
          <x14:cfRule type="expression" priority="239" id="{5DA6316F-C5D7-4001-9B51-C0A8BB0B633C}">
            <xm:f>'Datos ensayos LUM.'!$D$146</xm:f>
            <x14:dxf>
              <font>
                <strike/>
              </font>
            </x14:dxf>
          </x14:cfRule>
          <xm:sqref>C190:F195</xm:sqref>
        </x14:conditionalFormatting>
        <x14:conditionalFormatting xmlns:xm="http://schemas.microsoft.com/office/excel/2006/main">
          <x14:cfRule type="expression" priority="234" id="{567DD6D7-1806-4175-A35F-04C7598910F5}">
            <xm:f>'Datos ensayos LUM.'!$L$142</xm:f>
            <x14:dxf>
              <font>
                <strike/>
              </font>
            </x14:dxf>
          </x14:cfRule>
          <xm:sqref>C220:F222</xm:sqref>
        </x14:conditionalFormatting>
        <x14:conditionalFormatting xmlns:xm="http://schemas.microsoft.com/office/excel/2006/main">
          <x14:cfRule type="expression" priority="117" id="{2A935973-E594-4D4C-B69D-0293742A9000}">
            <xm:f>'Datos ensayos LUM.'!$CF$33</xm:f>
            <x14:dxf>
              <font>
                <color rgb="FFFF0000"/>
              </font>
            </x14:dxf>
          </x14:cfRule>
          <xm:sqref>C378:F378</xm:sqref>
        </x14:conditionalFormatting>
        <x14:conditionalFormatting xmlns:xm="http://schemas.microsoft.com/office/excel/2006/main">
          <x14:cfRule type="expression" priority="116" id="{64E998BE-A3D9-4EAC-B486-2CA411A1ABC8}">
            <xm:f>'Datos ensayos LUM.'!$CF$41</xm:f>
            <x14:dxf>
              <font>
                <color rgb="FFFF0000"/>
              </font>
            </x14:dxf>
          </x14:cfRule>
          <xm:sqref>C388:F388</xm:sqref>
        </x14:conditionalFormatting>
        <x14:conditionalFormatting xmlns:xm="http://schemas.microsoft.com/office/excel/2006/main">
          <x14:cfRule type="expression" priority="115" id="{4D246A17-93B3-445C-BA05-62B853A510F7}">
            <xm:f>'Datos ensayos LUM.'!$CF$49</xm:f>
            <x14:dxf>
              <font>
                <color rgb="FFFF0000"/>
              </font>
            </x14:dxf>
          </x14:cfRule>
          <xm:sqref>C394:F394</xm:sqref>
        </x14:conditionalFormatting>
        <x14:conditionalFormatting xmlns:xm="http://schemas.microsoft.com/office/excel/2006/main">
          <x14:cfRule type="expression" priority="114" id="{D79B40CE-50BD-4EAA-B431-F125A839DB42}">
            <xm:f>'Datos ensayos LUM.'!$CF$57</xm:f>
            <x14:dxf>
              <font>
                <color rgb="FFFF0000"/>
              </font>
            </x14:dxf>
          </x14:cfRule>
          <xm:sqref>C400:F400</xm:sqref>
        </x14:conditionalFormatting>
        <x14:conditionalFormatting xmlns:xm="http://schemas.microsoft.com/office/excel/2006/main">
          <x14:cfRule type="expression" priority="164" id="{619A573E-1D80-4C61-85BF-2CC8D2936558}">
            <xm:f>'Datos ensayos LUM.'!$D$38</xm:f>
            <x14:dxf>
              <font>
                <strike/>
                <color theme="1"/>
              </font>
            </x14:dxf>
          </x14:cfRule>
          <xm:sqref>D539:F540</xm:sqref>
        </x14:conditionalFormatting>
        <x14:conditionalFormatting xmlns:xm="http://schemas.microsoft.com/office/excel/2006/main">
          <x14:cfRule type="expression" priority="153" id="{AEA30B35-79F0-4898-BEEA-743886C41478}">
            <xm:f>'Datos ensayos LUM.'!$BE$20</xm:f>
            <x14:dxf>
              <font>
                <strike/>
                <color theme="1"/>
              </font>
            </x14:dxf>
          </x14:cfRule>
          <x14:cfRule type="expression" priority="154" id="{C36DA955-D5DC-40A6-A091-6CC6914029C2}">
            <xm:f>'Datos ensayos LUM.'!$BE$39</xm:f>
            <x14:dxf>
              <font>
                <strike/>
                <color theme="1"/>
              </font>
            </x14:dxf>
          </x14:cfRule>
          <xm:sqref>D909:F910</xm:sqref>
        </x14:conditionalFormatting>
        <x14:conditionalFormatting xmlns:xm="http://schemas.microsoft.com/office/excel/2006/main">
          <x14:cfRule type="expression" priority="149" id="{8B4D0A2F-F1B2-40B0-9CC5-9B81E57DEE2C}">
            <xm:f>'Datos ensayos LUM.'!$BE$20</xm:f>
            <x14:dxf>
              <font>
                <strike/>
                <color theme="1"/>
              </font>
            </x14:dxf>
          </x14:cfRule>
          <x14:cfRule type="expression" priority="150" id="{EA5FA0AD-B57A-4E38-B60A-D10DBF26FCB3}">
            <xm:f>'Datos ensayos LUM.'!$BE$39</xm:f>
            <x14:dxf>
              <font>
                <strike/>
                <color theme="1"/>
              </font>
            </x14:dxf>
          </x14:cfRule>
          <xm:sqref>D956:F957</xm:sqref>
        </x14:conditionalFormatting>
        <x14:conditionalFormatting xmlns:xm="http://schemas.microsoft.com/office/excel/2006/main">
          <x14:cfRule type="expression" priority="141" id="{839B6562-EE85-4A16-B945-8E315581ED6F}">
            <xm:f>'Datos ensayos LUM.'!$BE$20</xm:f>
            <x14:dxf>
              <font>
                <strike/>
                <color theme="1"/>
              </font>
            </x14:dxf>
          </x14:cfRule>
          <x14:cfRule type="expression" priority="142" id="{052958C4-42AA-46C8-B7B6-1C772751BA79}">
            <xm:f>'Datos ensayos LUM.'!$BE$39</xm:f>
            <x14:dxf>
              <font>
                <strike/>
                <color theme="1"/>
              </font>
            </x14:dxf>
          </x14:cfRule>
          <xm:sqref>D986:F987</xm:sqref>
        </x14:conditionalFormatting>
        <x14:conditionalFormatting xmlns:xm="http://schemas.microsoft.com/office/excel/2006/main">
          <x14:cfRule type="expression" priority="7" id="{7BD9EDD6-B243-4A22-BD21-235F1D296EB3}">
            <xm:f>'Datos ensayos LUM.'!$K$42</xm:f>
            <x14:dxf>
              <font>
                <strike/>
                <color theme="1"/>
              </font>
            </x14:dxf>
          </x14:cfRule>
          <xm:sqref>E121:F122 F123:F125</xm:sqref>
        </x14:conditionalFormatting>
        <x14:conditionalFormatting xmlns:xm="http://schemas.microsoft.com/office/excel/2006/main">
          <x14:cfRule type="expression" priority="412" id="{4B944C3D-84BF-4CD8-ADF0-89FE123947D9}">
            <xm:f>NOT('Datos ensayos LUM.'!$B$119)</xm:f>
            <x14:dxf>
              <font>
                <color rgb="FFFF0000"/>
              </font>
            </x14:dxf>
          </x14:cfRule>
          <xm:sqref>E122:F125</xm:sqref>
        </x14:conditionalFormatting>
        <x14:conditionalFormatting xmlns:xm="http://schemas.microsoft.com/office/excel/2006/main">
          <x14:cfRule type="expression" priority="6" id="{D4EE4D50-5C3A-4053-B2E2-DF05CE5DD7B0}">
            <xm:f>'Datos ensayos LUM.'!$K$42</xm:f>
            <x14:dxf>
              <font>
                <strike/>
                <color theme="1"/>
              </font>
            </x14:dxf>
          </x14:cfRule>
          <xm:sqref>E132:F132 F133:F135</xm:sqref>
        </x14:conditionalFormatting>
        <x14:conditionalFormatting xmlns:xm="http://schemas.microsoft.com/office/excel/2006/main">
          <x14:cfRule type="expression" priority="413" id="{DBB4EC70-E19C-417E-B582-D10689B0FC98}">
            <xm:f>NOT('Datos ensayos LUM.'!$B$125)</xm:f>
            <x14:dxf>
              <font>
                <color rgb="FFFF0000"/>
              </font>
            </x14:dxf>
          </x14:cfRule>
          <xm:sqref>E132:F135</xm:sqref>
        </x14:conditionalFormatting>
        <x14:conditionalFormatting xmlns:xm="http://schemas.microsoft.com/office/excel/2006/main">
          <x14:cfRule type="expression" priority="3" id="{C5F427E0-CDDE-4AA2-83D4-0EF29AE2B899}">
            <xm:f>NOT('Datos ensayos LUM.'!$AP$88)</xm:f>
            <x14:dxf>
              <font>
                <color rgb="FFFF0000"/>
              </font>
            </x14:dxf>
          </x14:cfRule>
          <xm:sqref>E753:F756</xm:sqref>
        </x14:conditionalFormatting>
        <x14:conditionalFormatting xmlns:xm="http://schemas.microsoft.com/office/excel/2006/main">
          <x14:cfRule type="expression" priority="408" id="{7FB2C084-A3F4-42E1-A255-AF11482C9091}">
            <xm:f>NOT('Datos ensayos LUM.'!$BU$121)</xm:f>
            <x14:dxf>
              <font>
                <color rgb="FFFF0000"/>
              </font>
            </x14:dxf>
          </x14:cfRule>
          <xm:sqref>E854:F857</xm:sqref>
        </x14:conditionalFormatting>
        <x14:conditionalFormatting xmlns:xm="http://schemas.microsoft.com/office/excel/2006/main">
          <x14:cfRule type="expression" priority="35" id="{2162CD63-D42C-4DDC-A733-4DF6DD86866A}">
            <xm:f>NOT('Datos ensayos LUM.'!$BU$105)</xm:f>
            <x14:dxf>
              <font>
                <color rgb="FFFF0000"/>
              </font>
            </x14:dxf>
          </x14:cfRule>
          <xm:sqref>E868:F868</xm:sqref>
        </x14:conditionalFormatting>
        <x14:conditionalFormatting xmlns:xm="http://schemas.microsoft.com/office/excel/2006/main">
          <x14:cfRule type="expression" priority="34" id="{D96BA8C0-24AD-403B-ACF9-8F235A0FB50D}">
            <xm:f>NOT('Datos ensayos LUM.'!$BU$99)</xm:f>
            <x14:dxf>
              <font>
                <color rgb="FFFF0000"/>
              </font>
            </x14:dxf>
          </x14:cfRule>
          <xm:sqref>E869:F870</xm:sqref>
        </x14:conditionalFormatting>
        <x14:conditionalFormatting xmlns:xm="http://schemas.microsoft.com/office/excel/2006/main">
          <x14:cfRule type="expression" priority="33" id="{41FBB627-A22C-496D-BA8D-3793E4C88062}">
            <xm:f>NOT('Datos ensayos LUM.'!$BU$103)</xm:f>
            <x14:dxf>
              <font>
                <color rgb="FFFF0000"/>
              </font>
            </x14:dxf>
          </x14:cfRule>
          <xm:sqref>E871:F872</xm:sqref>
        </x14:conditionalFormatting>
        <x14:conditionalFormatting xmlns:xm="http://schemas.microsoft.com/office/excel/2006/main">
          <x14:cfRule type="expression" priority="409" id="{CAADCA5C-9B4A-4558-B159-EFA6FAD05CC2}">
            <xm:f>NOT('Datos ensayos LUM.'!$BU$141)</xm:f>
            <x14:dxf>
              <font>
                <color rgb="FFFF0000"/>
              </font>
            </x14:dxf>
          </x14:cfRule>
          <xm:sqref>E929:F930</xm:sqref>
        </x14:conditionalFormatting>
        <x14:conditionalFormatting xmlns:xm="http://schemas.microsoft.com/office/excel/2006/main">
          <x14:cfRule type="expression" priority="410" id="{47F6E037-0CC2-4DBA-8E30-B4A569CB8722}">
            <xm:f>NOT('Datos ensayos LUM.'!$BU$168)</xm:f>
            <x14:dxf>
              <font>
                <color rgb="FFFF0000"/>
              </font>
            </x14:dxf>
          </x14:cfRule>
          <xm:sqref>E969:F972</xm:sqref>
        </x14:conditionalFormatting>
        <x14:conditionalFormatting xmlns:xm="http://schemas.microsoft.com/office/excel/2006/main">
          <x14:cfRule type="expression" priority="40" id="{98C48638-07AA-4C6F-878D-A8A826B264DC}">
            <xm:f>IF(AND('Datos ensayos LUM.'!$BU$87=TRUE,'Datos ensayos LUM.'!$BU$88=FALSE),TRUE,FALSE)</xm:f>
            <x14:dxf>
              <font>
                <color rgb="FFFF0000"/>
              </font>
            </x14:dxf>
          </x14:cfRule>
          <xm:sqref>F862</xm:sqref>
        </x14:conditionalFormatting>
        <x14:conditionalFormatting xmlns:xm="http://schemas.microsoft.com/office/excel/2006/main">
          <x14:cfRule type="expression" priority="38" id="{3656794B-B525-4F13-A4D5-E1B34B5EF73F}">
            <xm:f>NOT('Datos ensayos LUM.'!$BU$91)</xm:f>
            <x14:dxf>
              <font>
                <color rgb="FFFF0000"/>
              </font>
            </x14:dxf>
          </x14:cfRule>
          <xm:sqref>F864</xm:sqref>
        </x14:conditionalFormatting>
        <x14:conditionalFormatting xmlns:xm="http://schemas.microsoft.com/office/excel/2006/main">
          <x14:cfRule type="expression" priority="133" id="{FAE92774-1BEA-4415-9FA1-BFA47267C073}">
            <xm:f>'Datos ensayos LUM.'!$BW$22</xm:f>
            <x14:dxf>
              <font>
                <strike/>
                <color theme="1"/>
              </font>
            </x14:dxf>
          </x14:cfRule>
          <xm:sqref>F864:F866 E869:E872 B873:F885 B844:F853 E854:F854 B854:C855 F855:F857 B856:D857 B858:F861 B862:E863 B864:D864 B865:B866 B867:F867 B868:D868 B869:B872 B886:E886 B887 E887 B888:F888 B889:D889 B890:F893 B894:C895 B896:F901</xm:sqref>
        </x14:conditionalFormatting>
        <x14:conditionalFormatting xmlns:xm="http://schemas.microsoft.com/office/excel/2006/main">
          <x14:cfRule type="expression" priority="143" id="{11636F1B-44AD-4AB2-9E8C-36C9B53DEA40}">
            <xm:f>'Datos ensayos LUM.'!$BE$20</xm:f>
            <x14:dxf>
              <font>
                <strike/>
                <color theme="1"/>
              </font>
            </x14:dxf>
          </x14:cfRule>
          <x14:cfRule type="expression" priority="144" id="{4D980E27-E0B5-44F6-9323-189AD22B47DB}">
            <xm:f>'Datos ensayos LUM.'!$BE$39</xm:f>
            <x14:dxf>
              <font>
                <strike/>
                <color theme="1"/>
              </font>
            </x14:dxf>
          </x14:cfRule>
          <xm:sqref>F864:F866 E869:E872 D845:F853 E854:F854 F855:F857 D856:D857 D858:F861 D862:E863 D864 D867:F867 D868 D873:F885 D886:E886 E887 D888:F888 D889 D890:F893 D896:F897 C898:F905 C914:F918 E919:F919 F920:F922 D921 C922:D922</xm:sqref>
        </x14:conditionalFormatting>
        <x14:conditionalFormatting xmlns:xm="http://schemas.microsoft.com/office/excel/2006/main">
          <x14:cfRule type="expression" priority="37" id="{5731DFE4-8BD4-4DD0-859C-FBF20899AF52}">
            <xm:f>NOT('Datos ensayos LUM.'!$BU$92)</xm:f>
            <x14:dxf>
              <font>
                <color rgb="FFFF0000"/>
              </font>
            </x14:dxf>
          </x14:cfRule>
          <xm:sqref>F865</xm:sqref>
        </x14:conditionalFormatting>
        <x14:conditionalFormatting xmlns:xm="http://schemas.microsoft.com/office/excel/2006/main">
          <x14:cfRule type="expression" priority="36" id="{0C403766-A5E7-4C63-BD16-F3EAB51B1D61}">
            <xm:f>NOT('Datos ensayos LUM.'!$BU$93)</xm:f>
            <x14:dxf>
              <font>
                <color rgb="FFFF0000"/>
              </font>
            </x14:dxf>
          </x14:cfRule>
          <xm:sqref>F866</xm:sqref>
        </x14:conditionalFormatting>
        <x14:conditionalFormatting xmlns:xm="http://schemas.microsoft.com/office/excel/2006/main">
          <x14:cfRule type="expression" priority="137" id="{7CFCC2B9-5E2E-4EF9-B2C9-4CCB56BE3F63}">
            <xm:f>'Datos ensayos LUM.'!$BE$20</xm:f>
            <x14:dxf>
              <font>
                <strike/>
                <color theme="1"/>
              </font>
            </x14:dxf>
          </x14:cfRule>
          <x14:cfRule type="expression" priority="138" id="{41D7A9B2-A406-4565-B3DD-E1572962F89A}">
            <xm:f>'Datos ensayos LUM.'!$BE$39</xm:f>
            <x14:dxf>
              <font>
                <strike/>
                <color theme="1"/>
              </font>
            </x14:dxf>
          </x14:cfRule>
          <xm:sqref>F912:F913 C923:F925 D926:D927 F926:F927 D928:F928 E929:E930 C931:E931 C932:F938 C939:C940 C941:F951 C988 F988:F990 C991:F995</xm:sqref>
        </x14:conditionalFormatting>
        <x14:conditionalFormatting xmlns:xm="http://schemas.microsoft.com/office/excel/2006/main">
          <x14:cfRule type="expression" priority="165" id="{723E9F86-7D4B-47AB-96ED-F5DDE6B46121}">
            <xm:f>'Datos ensayos LUM.'!$BE$20</xm:f>
            <x14:dxf>
              <font>
                <strike/>
                <color theme="1"/>
              </font>
            </x14:dxf>
          </x14:cfRule>
          <xm:sqref>F958:F960 B769:F832 C974:E976 C978:F981</xm:sqref>
        </x14:conditionalFormatting>
        <x14:conditionalFormatting xmlns:xm="http://schemas.microsoft.com/office/excel/2006/main">
          <x14:cfRule type="expression" priority="171" id="{6966F99F-09FB-4C7E-B4B5-D3604FDB853D}">
            <xm:f>'Datos ensayos LUM.'!$BE$39</xm:f>
            <x14:dxf>
              <font>
                <strike/>
                <color theme="1"/>
              </font>
            </x14:dxf>
          </x14:cfRule>
          <xm:sqref>F958:F960 B771:F794 C974:E976 C978:F981</xm:sqref>
        </x14:conditionalFormatting>
        <x14:conditionalFormatting xmlns:xm="http://schemas.microsoft.com/office/excel/2006/main">
          <x14:cfRule type="expression" priority="41" id="{39352517-09E0-402A-BA6A-1CA3F0C3D17C}">
            <xm:f>NOT('Datos ensayos LUM.'!$BX$53)</xm:f>
            <x14:dxf>
              <font>
                <color rgb="FFFF0000"/>
              </font>
            </x14:dxf>
          </x14:cfRule>
          <xm:sqref>F960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D5ED-1749-4F7B-B5EF-F22BBD452F59}">
  <sheetPr codeName="Hoja2">
    <tabColor theme="4" tint="0.59999389629810485"/>
  </sheetPr>
  <dimension ref="A1:BD106"/>
  <sheetViews>
    <sheetView zoomScale="85" zoomScaleNormal="85" zoomScaleSheetLayoutView="40" workbookViewId="0">
      <selection activeCell="AA9" sqref="AA9"/>
    </sheetView>
  </sheetViews>
  <sheetFormatPr defaultColWidth="11.5546875" defaultRowHeight="14.4"/>
  <cols>
    <col min="2" max="2" width="4.5546875" customWidth="1"/>
    <col min="3" max="3" width="16.5546875" customWidth="1"/>
    <col min="4" max="4" width="45.5546875" customWidth="1"/>
    <col min="6" max="6" width="4.5546875" customWidth="1"/>
    <col min="7" max="7" width="16.5546875" customWidth="1"/>
    <col min="8" max="8" width="45.5546875" customWidth="1"/>
    <col min="10" max="10" width="4.5546875" customWidth="1"/>
    <col min="11" max="11" width="16.5546875" customWidth="1"/>
    <col min="12" max="12" width="45.5546875" customWidth="1"/>
    <col min="14" max="14" width="4.5546875" customWidth="1"/>
    <col min="15" max="15" width="16.5546875" customWidth="1"/>
    <col min="16" max="16" width="45.5546875" customWidth="1"/>
    <col min="18" max="18" width="4.5546875" customWidth="1"/>
    <col min="19" max="19" width="16.5546875" customWidth="1"/>
    <col min="20" max="20" width="46.5546875" customWidth="1"/>
    <col min="22" max="22" width="4.5546875" customWidth="1"/>
    <col min="23" max="23" width="16.5546875" customWidth="1"/>
    <col min="24" max="24" width="45.5546875" customWidth="1"/>
    <col min="25" max="25" width="13.44140625" customWidth="1"/>
    <col min="26" max="26" width="4.5546875" customWidth="1"/>
    <col min="27" max="27" width="16.5546875" customWidth="1"/>
    <col min="28" max="28" width="45.5546875" customWidth="1"/>
    <col min="29" max="29" width="11.5546875" customWidth="1"/>
    <col min="30" max="30" width="4.5546875" customWidth="1"/>
    <col min="31" max="31" width="16.5546875" customWidth="1"/>
    <col min="32" max="32" width="45.5546875" customWidth="1"/>
    <col min="34" max="34" width="4.5546875" customWidth="1"/>
    <col min="35" max="35" width="16.5546875" customWidth="1"/>
    <col min="36" max="36" width="45.5546875" customWidth="1"/>
    <col min="38" max="38" width="4.5546875" customWidth="1"/>
    <col min="39" max="39" width="16.5546875" customWidth="1"/>
    <col min="40" max="40" width="45.5546875" customWidth="1"/>
    <col min="42" max="42" width="4.5546875" customWidth="1"/>
    <col min="43" max="43" width="16.5546875" customWidth="1"/>
    <col min="44" max="44" width="45.5546875" customWidth="1"/>
    <col min="46" max="46" width="4.5546875" customWidth="1"/>
    <col min="47" max="47" width="16.5546875" customWidth="1"/>
    <col min="48" max="48" width="45.5546875" customWidth="1"/>
    <col min="50" max="50" width="4.5546875" customWidth="1"/>
    <col min="51" max="51" width="16.5546875" customWidth="1"/>
    <col min="52" max="52" width="45.5546875" customWidth="1"/>
    <col min="54" max="54" width="4.5546875" customWidth="1"/>
    <col min="55" max="55" width="16.5546875" customWidth="1"/>
    <col min="56" max="56" width="45.5546875" customWidth="1"/>
  </cols>
  <sheetData>
    <row r="1" spans="1:56">
      <c r="A1" s="2" t="s">
        <v>652</v>
      </c>
      <c r="B1" s="2"/>
      <c r="C1" s="2"/>
      <c r="D1" s="2"/>
    </row>
    <row r="2" spans="1:56">
      <c r="A2" s="2" t="s">
        <v>653</v>
      </c>
      <c r="B2" s="2"/>
      <c r="C2" s="2"/>
      <c r="D2" s="2" t="str" cm="1">
        <f t="array" ref="D2:E2">'RESUMEN PROYECTO LUM'!D3:E3</f>
        <v>NNNNNAAAA</v>
      </c>
      <c r="E2" s="334">
        <v>0</v>
      </c>
    </row>
    <row r="4" spans="1:56" ht="36" customHeight="1">
      <c r="B4" s="810" t="s">
        <v>842</v>
      </c>
      <c r="C4" s="810"/>
      <c r="D4" s="810"/>
      <c r="F4" s="810" t="s">
        <v>573</v>
      </c>
      <c r="G4" s="810"/>
      <c r="H4" s="810"/>
      <c r="J4" s="810" t="s">
        <v>577</v>
      </c>
      <c r="K4" s="810"/>
      <c r="L4" s="810"/>
      <c r="N4" s="810" t="s">
        <v>576</v>
      </c>
      <c r="O4" s="810"/>
      <c r="P4" s="810"/>
      <c r="R4" s="810" t="s">
        <v>582</v>
      </c>
      <c r="S4" s="810"/>
      <c r="T4" s="810"/>
      <c r="V4" s="810" t="s">
        <v>575</v>
      </c>
      <c r="W4" s="810"/>
      <c r="X4" s="810"/>
      <c r="Z4" s="810" t="s">
        <v>831</v>
      </c>
      <c r="AA4" s="810"/>
      <c r="AB4" s="810"/>
      <c r="AD4" s="810" t="s">
        <v>572</v>
      </c>
      <c r="AE4" s="810"/>
      <c r="AF4" s="810"/>
      <c r="AH4" s="810" t="s">
        <v>574</v>
      </c>
      <c r="AI4" s="810"/>
      <c r="AJ4" s="810"/>
      <c r="AL4" s="810" t="s">
        <v>1234</v>
      </c>
      <c r="AM4" s="810"/>
      <c r="AN4" s="810"/>
      <c r="AP4" s="810" t="s">
        <v>844</v>
      </c>
      <c r="AQ4" s="810"/>
      <c r="AR4" s="810"/>
      <c r="AT4" s="810" t="s">
        <v>578</v>
      </c>
      <c r="AU4" s="810"/>
      <c r="AV4" s="810"/>
      <c r="AX4" s="811" t="s">
        <v>579</v>
      </c>
      <c r="AY4" s="811"/>
      <c r="AZ4" s="811"/>
      <c r="BB4" s="810" t="s">
        <v>625</v>
      </c>
      <c r="BC4" s="810"/>
      <c r="BD4" s="810"/>
    </row>
    <row r="5" spans="1:56" ht="44.25" customHeight="1">
      <c r="B5" s="284"/>
      <c r="C5" s="803" t="s">
        <v>1213</v>
      </c>
      <c r="D5" s="803"/>
      <c r="F5" s="284"/>
      <c r="G5" s="803" t="s">
        <v>1214</v>
      </c>
      <c r="H5" s="803"/>
      <c r="J5" s="283"/>
      <c r="K5" s="803" t="s">
        <v>1226</v>
      </c>
      <c r="L5" s="803"/>
      <c r="N5" s="283"/>
      <c r="O5" s="803" t="s">
        <v>1227</v>
      </c>
      <c r="P5" s="803"/>
      <c r="R5" s="284"/>
      <c r="S5" s="803" t="s">
        <v>1228</v>
      </c>
      <c r="T5" s="803"/>
      <c r="V5" s="283"/>
      <c r="W5" s="803" t="s">
        <v>53</v>
      </c>
      <c r="X5" s="803"/>
      <c r="Y5" s="280"/>
      <c r="Z5" s="283"/>
      <c r="AA5" s="803" t="s">
        <v>1229</v>
      </c>
      <c r="AB5" s="803"/>
      <c r="AC5" s="280"/>
      <c r="AD5" s="283"/>
      <c r="AE5" s="803" t="s">
        <v>1230</v>
      </c>
      <c r="AF5" s="803"/>
      <c r="AH5" s="284"/>
      <c r="AI5" s="803" t="s">
        <v>1231</v>
      </c>
      <c r="AJ5" s="803"/>
      <c r="AL5" s="283"/>
      <c r="AM5" s="803" t="s">
        <v>1235</v>
      </c>
      <c r="AN5" s="803"/>
      <c r="AP5" s="362"/>
      <c r="AQ5" s="362" t="s">
        <v>1096</v>
      </c>
      <c r="AR5" s="362" t="s">
        <v>56</v>
      </c>
      <c r="AT5" s="283"/>
      <c r="AU5" s="803" t="s">
        <v>83</v>
      </c>
      <c r="AV5" s="803"/>
      <c r="AX5" s="809" t="s">
        <v>85</v>
      </c>
      <c r="AY5" s="809"/>
      <c r="AZ5" s="809"/>
      <c r="BB5" s="21"/>
      <c r="BC5" s="804" t="s">
        <v>628</v>
      </c>
      <c r="BD5" s="804"/>
    </row>
    <row r="6" spans="1:56" ht="44.25" customHeight="1">
      <c r="B6" s="283"/>
      <c r="C6" s="283" t="s">
        <v>998</v>
      </c>
      <c r="D6" s="283" t="s">
        <v>1</v>
      </c>
      <c r="F6" s="283"/>
      <c r="G6" s="283" t="s">
        <v>1000</v>
      </c>
      <c r="H6" s="283" t="s">
        <v>5</v>
      </c>
      <c r="J6" s="283"/>
      <c r="K6" s="283" t="s">
        <v>1003</v>
      </c>
      <c r="L6" s="283" t="s">
        <v>64</v>
      </c>
      <c r="N6" s="285" t="str">
        <f>IF('Datos ensayos LUM.'!T28=TRUE,"X","")</f>
        <v>X</v>
      </c>
      <c r="O6" s="289" t="s">
        <v>1037</v>
      </c>
      <c r="P6" s="289" t="s">
        <v>37</v>
      </c>
      <c r="R6" s="283"/>
      <c r="S6" s="283" t="s">
        <v>1000</v>
      </c>
      <c r="T6" s="283" t="s">
        <v>5</v>
      </c>
      <c r="V6" s="283"/>
      <c r="W6" s="283" t="s">
        <v>1017</v>
      </c>
      <c r="X6" s="283" t="s">
        <v>54</v>
      </c>
      <c r="Y6" s="281"/>
      <c r="Z6" s="292" t="str">
        <f>IF('Datos ensayos LUM.'!AJ23=TRUE,"X","")</f>
        <v/>
      </c>
      <c r="AA6" s="283" t="s">
        <v>1007</v>
      </c>
      <c r="AB6" s="283" t="s">
        <v>67</v>
      </c>
      <c r="AC6" s="281"/>
      <c r="AD6" s="294" t="str">
        <f>IF('Datos ensayos LUM.'!AR47=TRUE,"X","")</f>
        <v/>
      </c>
      <c r="AE6" s="283" t="s">
        <v>1065</v>
      </c>
      <c r="AF6" s="283" t="s">
        <v>861</v>
      </c>
      <c r="AH6" s="290" t="str">
        <f>IF('Datos ensayos LUM.'!BE26=TRUE,"X","")</f>
        <v/>
      </c>
      <c r="AI6" s="289" t="s">
        <v>1009</v>
      </c>
      <c r="AJ6" s="289" t="s">
        <v>1039</v>
      </c>
      <c r="AL6" s="283"/>
      <c r="AM6" s="283" t="s">
        <v>1004</v>
      </c>
      <c r="AN6" s="283" t="s">
        <v>32</v>
      </c>
      <c r="AP6" s="362"/>
      <c r="AQ6" s="362" t="s">
        <v>1043</v>
      </c>
      <c r="AR6" s="362" t="s">
        <v>57</v>
      </c>
      <c r="AT6" s="285" t="s">
        <v>12</v>
      </c>
      <c r="AU6" s="283" t="s">
        <v>1034</v>
      </c>
      <c r="AV6" s="283" t="s">
        <v>863</v>
      </c>
      <c r="AX6" s="21"/>
      <c r="AY6" s="803" t="s">
        <v>689</v>
      </c>
      <c r="AZ6" s="803"/>
      <c r="BB6" s="21"/>
      <c r="BC6" s="535" t="s">
        <v>1016</v>
      </c>
      <c r="BD6" s="319" t="s">
        <v>23</v>
      </c>
    </row>
    <row r="7" spans="1:56" ht="44.25" customHeight="1">
      <c r="B7" s="283"/>
      <c r="C7" s="283" t="s">
        <v>997</v>
      </c>
      <c r="D7" s="283" t="s">
        <v>2</v>
      </c>
      <c r="F7" s="283"/>
      <c r="G7" s="283" t="s">
        <v>1001</v>
      </c>
      <c r="H7" s="283" t="s">
        <v>6</v>
      </c>
      <c r="J7" s="283"/>
      <c r="K7" s="283" t="s">
        <v>1002</v>
      </c>
      <c r="L7" s="283" t="s">
        <v>7</v>
      </c>
      <c r="N7" s="286" t="str">
        <f>IF('Datos ensayos LUM.'!T29=TRUE,"X","")</f>
        <v/>
      </c>
      <c r="O7" s="289" t="s">
        <v>1009</v>
      </c>
      <c r="P7" s="289" t="s">
        <v>1038</v>
      </c>
      <c r="R7" s="283"/>
      <c r="S7" s="283" t="s">
        <v>1126</v>
      </c>
      <c r="T7" s="283" t="s">
        <v>1127</v>
      </c>
      <c r="V7" s="283"/>
      <c r="W7" s="283" t="s">
        <v>1041</v>
      </c>
      <c r="X7" s="283" t="s">
        <v>55</v>
      </c>
      <c r="Y7" s="281"/>
      <c r="Z7" s="292" t="str">
        <f>IF('Datos ensayos LUM.'!AJ24=TRUE,"X","")</f>
        <v/>
      </c>
      <c r="AA7" s="283" t="s">
        <v>1056</v>
      </c>
      <c r="AB7" s="283" t="s">
        <v>67</v>
      </c>
      <c r="AC7" s="281"/>
      <c r="AD7" s="294" t="str">
        <f>IF('Datos ensayos LUM.'!AR48=TRUE,"X","")</f>
        <v/>
      </c>
      <c r="AE7" s="283" t="s">
        <v>1066</v>
      </c>
      <c r="AF7" s="283" t="s">
        <v>46</v>
      </c>
      <c r="AH7" s="291" t="str">
        <f>IF('Datos ensayos LUM.'!BE28=TRUE,"X","")</f>
        <v/>
      </c>
      <c r="AI7" s="523" t="s">
        <v>1009</v>
      </c>
      <c r="AJ7" s="523" t="s">
        <v>1039</v>
      </c>
      <c r="AL7" s="286"/>
      <c r="AM7" s="283" t="s">
        <v>1049</v>
      </c>
      <c r="AN7" s="283" t="s">
        <v>75</v>
      </c>
      <c r="AP7" s="21"/>
      <c r="AQ7" s="362" t="s">
        <v>1044</v>
      </c>
      <c r="AR7" s="332" t="s">
        <v>1095</v>
      </c>
      <c r="AT7" s="286" t="s">
        <v>12</v>
      </c>
      <c r="AU7" s="283" t="s">
        <v>1096</v>
      </c>
      <c r="AV7" s="283" t="s">
        <v>56</v>
      </c>
      <c r="AX7" s="21"/>
      <c r="AY7" s="283" t="s">
        <v>1019</v>
      </c>
      <c r="AZ7" s="283" t="s">
        <v>690</v>
      </c>
      <c r="BB7" s="21"/>
      <c r="BC7" s="535" t="s">
        <v>1002</v>
      </c>
      <c r="BD7" s="319" t="s">
        <v>7</v>
      </c>
    </row>
    <row r="8" spans="1:56" ht="44.25" customHeight="1">
      <c r="B8" s="283"/>
      <c r="C8" s="283" t="s">
        <v>999</v>
      </c>
      <c r="D8" s="283" t="s">
        <v>3</v>
      </c>
      <c r="F8" s="283"/>
      <c r="G8" s="283" t="s">
        <v>1002</v>
      </c>
      <c r="H8" s="283" t="s">
        <v>7</v>
      </c>
      <c r="J8" s="283"/>
      <c r="K8" s="283" t="s">
        <v>1016</v>
      </c>
      <c r="L8" s="283" t="s">
        <v>23</v>
      </c>
      <c r="N8" s="283"/>
      <c r="O8" s="283" t="s">
        <v>997</v>
      </c>
      <c r="P8" s="283" t="s">
        <v>2</v>
      </c>
      <c r="R8" s="283"/>
      <c r="S8" s="283" t="s">
        <v>997</v>
      </c>
      <c r="T8" s="283" t="s">
        <v>2</v>
      </c>
      <c r="V8" s="285" t="str">
        <f>IF('Datos ensayos LUM.'!AB49=TRUE,"X","")</f>
        <v/>
      </c>
      <c r="W8" s="283" t="s">
        <v>1042</v>
      </c>
      <c r="X8" s="283" t="s">
        <v>863</v>
      </c>
      <c r="Y8" s="281"/>
      <c r="Z8" s="292" t="str">
        <f>IF('Datos ensayos LUM.'!AJ25=TRUE,"X","")</f>
        <v/>
      </c>
      <c r="AA8" s="289" t="s">
        <v>1049</v>
      </c>
      <c r="AB8" s="289" t="s">
        <v>1057</v>
      </c>
      <c r="AC8" s="281"/>
      <c r="AD8" s="294" t="str">
        <f>IF('Datos ensayos LUM.'!AR46=TRUE,"X","")</f>
        <v/>
      </c>
      <c r="AE8" s="283" t="s">
        <v>1067</v>
      </c>
      <c r="AF8" s="283" t="s">
        <v>452</v>
      </c>
      <c r="AH8" s="283"/>
      <c r="AI8" s="283" t="s">
        <v>1074</v>
      </c>
      <c r="AJ8" s="283" t="s">
        <v>2</v>
      </c>
      <c r="AL8" s="285"/>
      <c r="AM8" s="283" t="s">
        <v>1054</v>
      </c>
      <c r="AN8" s="283" t="s">
        <v>70</v>
      </c>
      <c r="AP8" s="362"/>
      <c r="AQ8" s="362" t="s">
        <v>1002</v>
      </c>
      <c r="AR8" s="362" t="s">
        <v>7</v>
      </c>
      <c r="AT8" s="286"/>
      <c r="AU8" s="283" t="s">
        <v>1043</v>
      </c>
      <c r="AV8" s="283" t="s">
        <v>57</v>
      </c>
      <c r="AX8" s="21"/>
      <c r="AY8" s="283" t="s">
        <v>997</v>
      </c>
      <c r="AZ8" s="283" t="s">
        <v>2</v>
      </c>
      <c r="BB8" s="21"/>
      <c r="BC8" s="283" t="s">
        <v>997</v>
      </c>
      <c r="BD8" s="319" t="s">
        <v>626</v>
      </c>
    </row>
    <row r="9" spans="1:56" ht="44.25" customHeight="1">
      <c r="B9" s="283"/>
      <c r="C9" s="283" t="s">
        <v>4</v>
      </c>
      <c r="D9" s="283"/>
      <c r="F9" s="283"/>
      <c r="G9" s="283" t="s">
        <v>1003</v>
      </c>
      <c r="H9" s="283" t="s">
        <v>8</v>
      </c>
      <c r="J9" s="283"/>
      <c r="K9" s="283" t="s">
        <v>1029</v>
      </c>
      <c r="L9" s="283" t="s">
        <v>65</v>
      </c>
      <c r="N9" s="283"/>
      <c r="O9" s="283" t="s">
        <v>4</v>
      </c>
      <c r="P9" s="283"/>
      <c r="R9" s="283"/>
      <c r="S9" s="283" t="s">
        <v>1120</v>
      </c>
      <c r="T9" s="283" t="s">
        <v>97</v>
      </c>
      <c r="V9" s="285" t="str">
        <f>IF('Datos ensayos LUM.'!AB50=TRUE,"X","")</f>
        <v/>
      </c>
      <c r="W9" s="283" t="s">
        <v>1096</v>
      </c>
      <c r="X9" s="283" t="s">
        <v>56</v>
      </c>
      <c r="Y9" s="281"/>
      <c r="Z9" s="292" t="str">
        <f>IF('Datos ensayos LUM.'!AJ26=TRUE,"X","")</f>
        <v/>
      </c>
      <c r="AA9" s="289" t="s">
        <v>1008</v>
      </c>
      <c r="AB9" s="289" t="s">
        <v>1240</v>
      </c>
      <c r="AC9" s="281"/>
      <c r="AD9" s="294" t="str">
        <f>IF('Datos ensayos LUM.'!AR49=TRUE,"X","")</f>
        <v/>
      </c>
      <c r="AE9" s="283" t="s">
        <v>1100</v>
      </c>
      <c r="AF9" s="283" t="s">
        <v>454</v>
      </c>
      <c r="AH9" s="283"/>
      <c r="AI9" s="283" t="s">
        <v>4</v>
      </c>
      <c r="AJ9" s="283"/>
      <c r="AL9" s="286"/>
      <c r="AM9" s="283" t="s">
        <v>1059</v>
      </c>
      <c r="AN9" s="283" t="s">
        <v>71</v>
      </c>
      <c r="AP9" s="362"/>
      <c r="AQ9" s="362" t="s">
        <v>1003</v>
      </c>
      <c r="AR9" s="362" t="s">
        <v>64</v>
      </c>
      <c r="AT9" s="287" t="str">
        <f>IF('Datos ensayos LUM.'!BG24=TRUE,"X","")</f>
        <v/>
      </c>
      <c r="AU9" s="283" t="s">
        <v>1085</v>
      </c>
      <c r="AV9" s="283" t="s">
        <v>1099</v>
      </c>
      <c r="AX9" s="21"/>
      <c r="AY9" s="21" t="s">
        <v>4</v>
      </c>
      <c r="AZ9" s="21"/>
      <c r="BB9" s="315" t="str">
        <f>IF('Toma de notas 60598'!B1070,"X","")</f>
        <v/>
      </c>
      <c r="BC9" s="535" t="s">
        <v>1025</v>
      </c>
      <c r="BD9" s="319" t="s">
        <v>627</v>
      </c>
    </row>
    <row r="10" spans="1:56" ht="44.25" customHeight="1">
      <c r="B10" s="283"/>
      <c r="C10" s="283"/>
      <c r="D10" s="283"/>
      <c r="F10" s="283"/>
      <c r="G10" s="283" t="s">
        <v>997</v>
      </c>
      <c r="H10" s="283" t="s">
        <v>2</v>
      </c>
      <c r="J10" s="283"/>
      <c r="K10" s="283" t="s">
        <v>1030</v>
      </c>
      <c r="L10" s="283" t="s">
        <v>556</v>
      </c>
      <c r="N10" s="283"/>
      <c r="O10" s="283"/>
      <c r="P10" s="283"/>
      <c r="R10" s="283"/>
      <c r="S10" s="283" t="s">
        <v>4</v>
      </c>
      <c r="T10" s="283"/>
      <c r="V10" s="285" t="str">
        <f>IF('Datos ensayos LUM.'!AB51=TRUE,"X","")</f>
        <v/>
      </c>
      <c r="W10" s="283" t="s">
        <v>1043</v>
      </c>
      <c r="X10" s="283" t="s">
        <v>57</v>
      </c>
      <c r="Y10" s="281"/>
      <c r="Z10" s="286" t="str">
        <f>IF('Datos ensayos LUM.'!AJ32=TRUE,"X","")</f>
        <v/>
      </c>
      <c r="AA10" s="289" t="s">
        <v>1058</v>
      </c>
      <c r="AB10" s="289" t="s">
        <v>68</v>
      </c>
      <c r="AC10" s="281"/>
      <c r="AD10" s="294" t="str">
        <f>IF('Datos ensayos LUM.'!AR45=TRUE,"X","")</f>
        <v/>
      </c>
      <c r="AE10" s="283" t="s">
        <v>1068</v>
      </c>
      <c r="AF10" s="283" t="s">
        <v>51</v>
      </c>
      <c r="AH10" s="283"/>
      <c r="AI10" s="283"/>
      <c r="AJ10" s="283"/>
      <c r="AL10" s="286" t="s">
        <v>12</v>
      </c>
      <c r="AM10" s="283" t="s">
        <v>1027</v>
      </c>
      <c r="AN10" s="283" t="s">
        <v>557</v>
      </c>
      <c r="AP10" s="362"/>
      <c r="AQ10" s="362" t="s">
        <v>1030</v>
      </c>
      <c r="AR10" s="362" t="s">
        <v>556</v>
      </c>
      <c r="AT10" s="288" t="str">
        <f>IF('Datos ensayos LUM.'!BG25=TRUE,"X","")</f>
        <v/>
      </c>
      <c r="AU10" s="283" t="s">
        <v>1082</v>
      </c>
      <c r="AV10" s="283" t="s">
        <v>1098</v>
      </c>
      <c r="AX10" s="21"/>
      <c r="AY10" s="21"/>
      <c r="AZ10" s="21"/>
      <c r="BB10" s="315" t="str">
        <f>IF('Toma de notas 60598'!B1071,"X","")</f>
        <v/>
      </c>
      <c r="BC10" s="535" t="s">
        <v>1102</v>
      </c>
      <c r="BD10" s="527" t="s">
        <v>1103</v>
      </c>
    </row>
    <row r="11" spans="1:56" ht="44.25" customHeight="1">
      <c r="B11" s="283"/>
      <c r="C11" s="283"/>
      <c r="D11" s="283"/>
      <c r="F11" s="283"/>
      <c r="G11" s="283" t="s">
        <v>999</v>
      </c>
      <c r="H11" s="283" t="s">
        <v>3</v>
      </c>
      <c r="J11" s="283"/>
      <c r="K11" s="283" t="s">
        <v>1031</v>
      </c>
      <c r="L11" s="283" t="s">
        <v>58</v>
      </c>
      <c r="N11" s="283"/>
      <c r="O11" s="283"/>
      <c r="P11" s="283"/>
      <c r="R11" s="21"/>
      <c r="S11" s="21"/>
      <c r="T11" s="21"/>
      <c r="V11" s="283"/>
      <c r="W11" s="283" t="s">
        <v>1031</v>
      </c>
      <c r="X11" s="283" t="s">
        <v>1045</v>
      </c>
      <c r="Y11" s="281"/>
      <c r="Z11" s="286" t="str">
        <f>IF('Datos ensayos LUM.'!AJ33=TRUE,"X","")</f>
        <v/>
      </c>
      <c r="AA11" s="289" t="s">
        <v>1049</v>
      </c>
      <c r="AB11" s="289" t="s">
        <v>69</v>
      </c>
      <c r="AC11" s="281"/>
      <c r="AD11" s="294" t="str">
        <f>IF('Datos ensayos LUM.'!AR50=TRUE,"X","")</f>
        <v/>
      </c>
      <c r="AE11" s="283" t="s">
        <v>1123</v>
      </c>
      <c r="AF11" s="283" t="s">
        <v>1124</v>
      </c>
      <c r="AH11" s="283"/>
      <c r="AI11" s="283"/>
      <c r="AJ11" s="283"/>
      <c r="AL11" s="283"/>
      <c r="AM11" s="283" t="s">
        <v>1086</v>
      </c>
      <c r="AN11" s="283" t="s">
        <v>76</v>
      </c>
      <c r="AP11" s="362"/>
      <c r="AQ11" s="370" t="s">
        <v>1014</v>
      </c>
      <c r="AR11" s="370" t="s">
        <v>21</v>
      </c>
      <c r="AT11" s="283"/>
      <c r="AU11" s="283" t="s">
        <v>1031</v>
      </c>
      <c r="AV11" s="283" t="s">
        <v>58</v>
      </c>
      <c r="AX11" s="21"/>
      <c r="AY11" s="21"/>
      <c r="AZ11" s="21"/>
      <c r="BB11" s="315" t="str">
        <f>IF('Toma de notas 60598'!B1069,"X","")</f>
        <v/>
      </c>
      <c r="BC11" s="535" t="s">
        <v>1018</v>
      </c>
      <c r="BD11" s="527" t="s">
        <v>1108</v>
      </c>
    </row>
    <row r="12" spans="1:56" ht="44.25" customHeight="1">
      <c r="B12" s="21"/>
      <c r="C12" s="21"/>
      <c r="D12" s="21"/>
      <c r="F12" s="283"/>
      <c r="G12" s="283" t="s">
        <v>4</v>
      </c>
      <c r="H12" s="283"/>
      <c r="J12" s="283"/>
      <c r="K12" s="289" t="s">
        <v>1032</v>
      </c>
      <c r="L12" s="289" t="s">
        <v>1033</v>
      </c>
      <c r="R12" s="21"/>
      <c r="S12" s="283"/>
      <c r="T12" s="283"/>
      <c r="V12" s="283"/>
      <c r="W12" s="283" t="s">
        <v>1046</v>
      </c>
      <c r="X12" s="283" t="s">
        <v>47</v>
      </c>
      <c r="Y12" s="281"/>
      <c r="Z12" s="286" t="str">
        <f>IF('Datos ensayos LUM.'!AJ34=TRUE,"X","")</f>
        <v/>
      </c>
      <c r="AA12" s="289" t="s">
        <v>1054</v>
      </c>
      <c r="AB12" s="289" t="s">
        <v>1060</v>
      </c>
      <c r="AC12" s="281"/>
      <c r="AD12" s="283"/>
      <c r="AE12" s="283" t="s">
        <v>1069</v>
      </c>
      <c r="AF12" s="283" t="s">
        <v>453</v>
      </c>
      <c r="AH12" s="283"/>
      <c r="AI12" s="803" t="s">
        <v>1232</v>
      </c>
      <c r="AJ12" s="803"/>
      <c r="AL12" s="283"/>
      <c r="AM12" s="283" t="s">
        <v>1088</v>
      </c>
      <c r="AN12" s="283" t="s">
        <v>77</v>
      </c>
      <c r="AP12" s="362"/>
      <c r="AQ12" s="370" t="s">
        <v>1015</v>
      </c>
      <c r="AR12" s="370" t="s">
        <v>22</v>
      </c>
      <c r="AT12" s="283"/>
      <c r="AU12" s="283" t="s">
        <v>1100</v>
      </c>
      <c r="AV12" s="283" t="s">
        <v>84</v>
      </c>
      <c r="AX12" s="283"/>
      <c r="AY12" s="803" t="s">
        <v>86</v>
      </c>
      <c r="AZ12" s="803"/>
      <c r="BB12" s="21"/>
      <c r="BC12" s="319" t="s">
        <v>4</v>
      </c>
      <c r="BD12" s="21"/>
    </row>
    <row r="13" spans="1:56" ht="44.25" customHeight="1">
      <c r="F13" s="283"/>
      <c r="G13" s="283"/>
      <c r="H13" s="283"/>
      <c r="J13" s="283"/>
      <c r="K13" s="283" t="s">
        <v>1034</v>
      </c>
      <c r="L13" s="283" t="s">
        <v>66</v>
      </c>
      <c r="R13" s="21"/>
      <c r="S13" s="21"/>
      <c r="T13" s="21"/>
      <c r="V13" s="283"/>
      <c r="W13" s="283" t="s">
        <v>1000</v>
      </c>
      <c r="X13" s="283" t="s">
        <v>5</v>
      </c>
      <c r="Y13" s="281"/>
      <c r="Z13" s="286" t="str">
        <f>IF('Datos ensayos LUM.'!AJ35=TRUE,"X","")</f>
        <v/>
      </c>
      <c r="AA13" s="289" t="s">
        <v>1059</v>
      </c>
      <c r="AB13" s="289" t="s">
        <v>1060</v>
      </c>
      <c r="AC13" s="281"/>
      <c r="AD13" s="283"/>
      <c r="AE13" s="283" t="s">
        <v>1046</v>
      </c>
      <c r="AF13" s="283" t="s">
        <v>47</v>
      </c>
      <c r="AH13" s="286" t="str">
        <f>IF('Datos ensayos LUM.'!BF26=TRUE,"X","")</f>
        <v/>
      </c>
      <c r="AI13" s="289" t="s">
        <v>1010</v>
      </c>
      <c r="AJ13" s="289" t="s">
        <v>1080</v>
      </c>
      <c r="AL13" s="283"/>
      <c r="AM13" s="283" t="s">
        <v>1087</v>
      </c>
      <c r="AN13" s="283" t="s">
        <v>558</v>
      </c>
      <c r="AP13" s="362"/>
      <c r="AQ13" s="362" t="s">
        <v>1000</v>
      </c>
      <c r="AR13" s="362" t="s">
        <v>833</v>
      </c>
      <c r="AT13" s="283"/>
      <c r="AU13" s="283" t="s">
        <v>997</v>
      </c>
      <c r="AV13" s="283" t="s">
        <v>2</v>
      </c>
      <c r="AX13" s="283"/>
      <c r="AY13" s="283" t="s">
        <v>1024</v>
      </c>
      <c r="AZ13" s="283" t="s">
        <v>691</v>
      </c>
      <c r="BB13" s="21"/>
      <c r="BC13" s="21"/>
      <c r="BD13" s="21"/>
    </row>
    <row r="14" spans="1:56" ht="44.25" customHeight="1">
      <c r="B14" s="813" t="s">
        <v>651</v>
      </c>
      <c r="C14" s="814"/>
      <c r="D14" s="814"/>
      <c r="F14" s="283"/>
      <c r="G14" s="283"/>
      <c r="H14" s="283"/>
      <c r="J14" s="283"/>
      <c r="K14" s="283" t="s">
        <v>997</v>
      </c>
      <c r="L14" s="283" t="s">
        <v>2</v>
      </c>
      <c r="R14" s="21"/>
      <c r="S14" s="21"/>
      <c r="T14" s="21"/>
      <c r="V14" s="283"/>
      <c r="W14" s="283" t="s">
        <v>1020</v>
      </c>
      <c r="X14" s="283" t="s">
        <v>5</v>
      </c>
      <c r="Y14" s="281"/>
      <c r="Z14" s="283"/>
      <c r="AA14" s="289" t="s">
        <v>1048</v>
      </c>
      <c r="AB14" s="289" t="s">
        <v>72</v>
      </c>
      <c r="AC14" s="281"/>
      <c r="AD14" s="283"/>
      <c r="AE14" s="283" t="s">
        <v>1002</v>
      </c>
      <c r="AF14" s="283" t="s">
        <v>7</v>
      </c>
      <c r="AH14" s="285" t="str">
        <f>IF('Datos ensayos LUM.'!BF24=TRUE,"X","")</f>
        <v>X</v>
      </c>
      <c r="AI14" s="289" t="s">
        <v>1009</v>
      </c>
      <c r="AJ14" s="289" t="s">
        <v>1081</v>
      </c>
      <c r="AL14" s="283"/>
      <c r="AM14" s="283" t="s">
        <v>997</v>
      </c>
      <c r="AN14" s="283" t="s">
        <v>2</v>
      </c>
      <c r="AP14" s="362"/>
      <c r="AQ14" s="362" t="s">
        <v>1020</v>
      </c>
      <c r="AR14" s="362" t="s">
        <v>834</v>
      </c>
      <c r="AT14" s="283"/>
      <c r="AU14" s="283" t="s">
        <v>4</v>
      </c>
      <c r="AV14" s="283"/>
      <c r="AX14" s="283"/>
      <c r="AY14" s="283" t="s">
        <v>997</v>
      </c>
      <c r="AZ14" s="283" t="s">
        <v>2</v>
      </c>
    </row>
    <row r="15" spans="1:56" ht="44.25" customHeight="1">
      <c r="B15" s="83" t="s">
        <v>580</v>
      </c>
      <c r="C15" s="806" t="s">
        <v>570</v>
      </c>
      <c r="D15" s="806"/>
      <c r="F15" s="284"/>
      <c r="G15" s="803" t="s">
        <v>1215</v>
      </c>
      <c r="H15" s="803"/>
      <c r="J15" s="283"/>
      <c r="K15" s="283" t="s">
        <v>4</v>
      </c>
      <c r="L15" s="283"/>
      <c r="R15" s="21"/>
      <c r="S15" s="21"/>
      <c r="T15" s="21"/>
      <c r="V15" s="283"/>
      <c r="W15" s="283" t="s">
        <v>997</v>
      </c>
      <c r="X15" s="283" t="s">
        <v>2</v>
      </c>
      <c r="Y15" s="281"/>
      <c r="Z15" s="283"/>
      <c r="AA15" s="289" t="s">
        <v>996</v>
      </c>
      <c r="AB15" s="289" t="s">
        <v>73</v>
      </c>
      <c r="AC15" s="281"/>
      <c r="AD15" s="283"/>
      <c r="AE15" s="283" t="s">
        <v>1073</v>
      </c>
      <c r="AF15" s="283" t="s">
        <v>864</v>
      </c>
      <c r="AH15" s="285" t="str">
        <f>IF('Datos ensayos LUM.'!BF28=TRUE,"X","")</f>
        <v/>
      </c>
      <c r="AI15" s="523" t="s">
        <v>1009</v>
      </c>
      <c r="AJ15" s="523" t="s">
        <v>1040</v>
      </c>
      <c r="AL15" s="283"/>
      <c r="AM15" s="283" t="s">
        <v>999</v>
      </c>
      <c r="AN15" s="283" t="s">
        <v>78</v>
      </c>
      <c r="AP15" s="362"/>
      <c r="AQ15" s="362" t="s">
        <v>999</v>
      </c>
      <c r="AR15" s="362" t="s">
        <v>78</v>
      </c>
      <c r="AT15" s="283"/>
      <c r="AU15" s="283"/>
      <c r="AV15" s="283"/>
      <c r="AX15" s="283"/>
      <c r="AY15" s="21" t="s">
        <v>4</v>
      </c>
      <c r="AZ15" s="21"/>
    </row>
    <row r="16" spans="1:56" ht="44.25" customHeight="1">
      <c r="B16" s="315" t="s">
        <v>12</v>
      </c>
      <c r="C16" s="806" t="s">
        <v>589</v>
      </c>
      <c r="D16" s="806"/>
      <c r="F16" s="283"/>
      <c r="G16" s="283" t="s">
        <v>1002</v>
      </c>
      <c r="H16" s="283" t="s">
        <v>7</v>
      </c>
      <c r="J16" s="283"/>
      <c r="K16" s="283"/>
      <c r="L16" s="283"/>
      <c r="V16" s="283"/>
      <c r="W16" s="283" t="s">
        <v>4</v>
      </c>
      <c r="X16" s="283"/>
      <c r="Y16" s="281"/>
      <c r="Z16" s="283"/>
      <c r="AA16" s="283" t="s">
        <v>4</v>
      </c>
      <c r="AB16" s="283"/>
      <c r="AC16" s="281"/>
      <c r="AD16" s="283"/>
      <c r="AE16" s="283" t="s">
        <v>1072</v>
      </c>
      <c r="AF16" s="283" t="s">
        <v>48</v>
      </c>
      <c r="AH16" s="283"/>
      <c r="AI16" s="283" t="s">
        <v>1074</v>
      </c>
      <c r="AJ16" s="283" t="s">
        <v>2</v>
      </c>
      <c r="AL16" s="283"/>
      <c r="AM16" s="283" t="s">
        <v>4</v>
      </c>
      <c r="AN16" s="283"/>
      <c r="AP16" s="362"/>
      <c r="AQ16" s="370" t="s">
        <v>997</v>
      </c>
      <c r="AR16" s="370" t="s">
        <v>2</v>
      </c>
      <c r="AT16" s="283"/>
      <c r="AU16" s="283"/>
      <c r="AV16" s="283"/>
      <c r="AX16" s="21"/>
      <c r="AY16" s="21"/>
      <c r="AZ16" s="21"/>
    </row>
    <row r="17" spans="2:52" ht="44.25" customHeight="1">
      <c r="B17" s="805" t="s">
        <v>581</v>
      </c>
      <c r="C17" s="806" t="s">
        <v>571</v>
      </c>
      <c r="D17" s="806"/>
      <c r="F17" s="283"/>
      <c r="G17" s="283" t="s">
        <v>1003</v>
      </c>
      <c r="H17" s="283" t="s">
        <v>8</v>
      </c>
      <c r="J17" s="283"/>
      <c r="K17" s="283"/>
      <c r="L17" s="283"/>
      <c r="V17" s="283"/>
      <c r="W17" s="283"/>
      <c r="X17" s="283"/>
      <c r="Y17" s="281"/>
      <c r="Z17" s="283"/>
      <c r="AA17" s="283"/>
      <c r="AB17" s="283"/>
      <c r="AC17" s="281"/>
      <c r="AD17" s="283"/>
      <c r="AE17" s="283" t="s">
        <v>1070</v>
      </c>
      <c r="AF17" s="283" t="s">
        <v>49</v>
      </c>
      <c r="AH17" s="283"/>
      <c r="AI17" s="283" t="s">
        <v>4</v>
      </c>
      <c r="AJ17" s="283"/>
      <c r="AL17" s="283"/>
      <c r="AM17" s="283"/>
      <c r="AN17" s="283"/>
      <c r="AP17" s="362"/>
      <c r="AQ17" s="362" t="s">
        <v>4</v>
      </c>
      <c r="AR17" s="362"/>
      <c r="AX17" s="283"/>
      <c r="AY17" s="803" t="s">
        <v>692</v>
      </c>
      <c r="AZ17" s="803"/>
    </row>
    <row r="18" spans="2:52" ht="44.25" customHeight="1">
      <c r="B18" s="805"/>
      <c r="C18" s="806"/>
      <c r="D18" s="806"/>
      <c r="F18" s="283"/>
      <c r="G18" s="283" t="s">
        <v>997</v>
      </c>
      <c r="H18" s="283" t="s">
        <v>2</v>
      </c>
      <c r="J18" s="283"/>
      <c r="K18" s="283"/>
      <c r="L18" s="283"/>
      <c r="V18" s="283"/>
      <c r="W18" s="283"/>
      <c r="X18" s="283"/>
      <c r="Y18" s="281"/>
      <c r="Z18" s="283"/>
      <c r="AA18" s="283"/>
      <c r="AB18" s="283"/>
      <c r="AC18" s="281"/>
      <c r="AD18" s="283"/>
      <c r="AE18" s="283" t="s">
        <v>1109</v>
      </c>
      <c r="AF18" s="283" t="s">
        <v>50</v>
      </c>
      <c r="AH18" s="283"/>
      <c r="AI18" s="283"/>
      <c r="AJ18" s="283"/>
      <c r="AL18" s="283"/>
      <c r="AM18" s="283"/>
      <c r="AN18" s="283"/>
      <c r="AP18" s="362"/>
      <c r="AQ18" s="362"/>
      <c r="AR18" s="362"/>
      <c r="AX18" s="21"/>
      <c r="AY18" s="804" t="s">
        <v>628</v>
      </c>
      <c r="AZ18" s="804"/>
    </row>
    <row r="19" spans="2:52" ht="44.25" customHeight="1">
      <c r="B19" s="313"/>
      <c r="C19" s="806" t="s">
        <v>590</v>
      </c>
      <c r="D19" s="806"/>
      <c r="F19" s="283"/>
      <c r="G19" s="283" t="s">
        <v>4</v>
      </c>
      <c r="H19" s="283"/>
      <c r="AD19" s="283"/>
      <c r="AE19" s="283" t="s">
        <v>1071</v>
      </c>
      <c r="AF19" s="283" t="s">
        <v>2</v>
      </c>
      <c r="AH19" s="283"/>
      <c r="AI19" s="283"/>
      <c r="AJ19" s="283"/>
      <c r="AL19" s="283"/>
      <c r="AM19" s="807" t="s">
        <v>1236</v>
      </c>
      <c r="AN19" s="807"/>
      <c r="AP19" s="362"/>
      <c r="AQ19" s="362"/>
      <c r="AR19" s="362"/>
      <c r="AX19" s="21"/>
      <c r="AY19" s="319" t="s">
        <v>1016</v>
      </c>
      <c r="AZ19" s="319" t="s">
        <v>23</v>
      </c>
    </row>
    <row r="20" spans="2:52" ht="44.25" customHeight="1">
      <c r="C20" s="815"/>
      <c r="D20" s="815"/>
      <c r="F20" s="283"/>
      <c r="G20" s="283"/>
      <c r="H20" s="283"/>
      <c r="AD20" s="283"/>
      <c r="AE20" s="283" t="s">
        <v>1016</v>
      </c>
      <c r="AF20" s="283" t="s">
        <v>23</v>
      </c>
      <c r="AH20" s="283"/>
      <c r="AI20" s="807" t="s">
        <v>1233</v>
      </c>
      <c r="AJ20" s="807"/>
      <c r="AL20" s="283"/>
      <c r="AM20" s="283" t="s">
        <v>1089</v>
      </c>
      <c r="AN20" s="283" t="s">
        <v>80</v>
      </c>
      <c r="AP20" s="362"/>
      <c r="AQ20" s="362"/>
      <c r="AR20" s="362"/>
      <c r="AX20" s="21"/>
      <c r="AY20" s="319" t="s">
        <v>1002</v>
      </c>
      <c r="AZ20" s="319" t="s">
        <v>7</v>
      </c>
    </row>
    <row r="21" spans="2:52" ht="44.25" customHeight="1">
      <c r="F21" s="283"/>
      <c r="G21" s="283"/>
      <c r="H21" s="283"/>
      <c r="AD21" s="283"/>
      <c r="AE21" s="283" t="s">
        <v>1239</v>
      </c>
      <c r="AF21" s="283" t="s">
        <v>14</v>
      </c>
      <c r="AH21" s="292" t="str">
        <f>IF('Datos ensayos LUM.'!BG27=TRUE,"X","")</f>
        <v>X</v>
      </c>
      <c r="AI21" s="283" t="s">
        <v>1085</v>
      </c>
      <c r="AJ21" s="283" t="s">
        <v>1084</v>
      </c>
      <c r="AL21" s="283"/>
      <c r="AM21" s="283" t="s">
        <v>1090</v>
      </c>
      <c r="AN21" s="283" t="s">
        <v>81</v>
      </c>
      <c r="AP21" s="371"/>
      <c r="AQ21" s="371"/>
      <c r="AR21" s="371"/>
      <c r="AX21" s="21"/>
      <c r="AY21" s="283" t="s">
        <v>997</v>
      </c>
      <c r="AZ21" s="319" t="s">
        <v>626</v>
      </c>
    </row>
    <row r="22" spans="2:52" ht="44.25" customHeight="1">
      <c r="F22" s="284"/>
      <c r="G22" s="803" t="s">
        <v>1216</v>
      </c>
      <c r="H22" s="803"/>
      <c r="AD22" s="295" t="str">
        <f>IF('Datos ensayos LUM.'!BF26=TRUE,"X","")</f>
        <v/>
      </c>
      <c r="AE22" s="289" t="s">
        <v>1009</v>
      </c>
      <c r="AF22" s="289" t="s">
        <v>15</v>
      </c>
      <c r="AH22" s="293" t="str">
        <f>IF('Datos ensayos LUM.'!BG25=TRUE,"X","")</f>
        <v/>
      </c>
      <c r="AI22" s="283" t="s">
        <v>1082</v>
      </c>
      <c r="AJ22" s="283" t="s">
        <v>1083</v>
      </c>
      <c r="AL22" s="283"/>
      <c r="AM22" s="283" t="s">
        <v>999</v>
      </c>
      <c r="AN22" s="283" t="s">
        <v>78</v>
      </c>
      <c r="AP22" s="810" t="s">
        <v>845</v>
      </c>
      <c r="AQ22" s="810"/>
      <c r="AR22" s="810"/>
      <c r="AX22" s="21"/>
      <c r="AY22" s="319" t="s">
        <v>1025</v>
      </c>
      <c r="AZ22" s="319" t="s">
        <v>693</v>
      </c>
    </row>
    <row r="23" spans="2:52" ht="44.25" customHeight="1">
      <c r="F23" s="283"/>
      <c r="G23" s="283" t="s">
        <v>1002</v>
      </c>
      <c r="H23" s="283" t="s">
        <v>7</v>
      </c>
      <c r="AD23" s="295" t="str">
        <f>IF('Datos ensayos LUM.'!BF27=TRUE,"X","")</f>
        <v/>
      </c>
      <c r="AE23" s="289" t="s">
        <v>1010</v>
      </c>
      <c r="AF23" s="289" t="s">
        <v>15</v>
      </c>
      <c r="AH23" s="283"/>
      <c r="AI23" s="283" t="s">
        <v>1074</v>
      </c>
      <c r="AJ23" s="283" t="s">
        <v>2</v>
      </c>
      <c r="AL23" s="283"/>
      <c r="AM23" s="283" t="s">
        <v>997</v>
      </c>
      <c r="AN23" s="283" t="s">
        <v>2</v>
      </c>
      <c r="AP23" s="362"/>
      <c r="AQ23" s="362" t="s">
        <v>1096</v>
      </c>
      <c r="AR23" s="362" t="s">
        <v>56</v>
      </c>
      <c r="AX23" s="21"/>
      <c r="AY23" s="319" t="s">
        <v>4</v>
      </c>
      <c r="AZ23" s="21"/>
    </row>
    <row r="24" spans="2:52" ht="44.25" customHeight="1">
      <c r="F24" s="283"/>
      <c r="G24" s="283" t="s">
        <v>1003</v>
      </c>
      <c r="H24" s="283" t="s">
        <v>8</v>
      </c>
      <c r="AD24" s="295" t="str">
        <f>IF('Datos ensayos LUM.'!BF28=TRUE,"X","")</f>
        <v/>
      </c>
      <c r="AE24" s="523" t="s">
        <v>1009</v>
      </c>
      <c r="AF24" s="523" t="s">
        <v>1040</v>
      </c>
      <c r="AH24" s="283"/>
      <c r="AI24" s="283" t="s">
        <v>4</v>
      </c>
      <c r="AJ24" s="283"/>
      <c r="AL24" s="283"/>
      <c r="AM24" s="283" t="s">
        <v>1101</v>
      </c>
      <c r="AN24" s="283" t="s">
        <v>82</v>
      </c>
      <c r="AP24" s="362"/>
      <c r="AQ24" s="362" t="s">
        <v>1043</v>
      </c>
      <c r="AR24" s="362" t="s">
        <v>57</v>
      </c>
      <c r="AX24" s="21"/>
      <c r="AY24" s="21"/>
      <c r="AZ24" s="21"/>
    </row>
    <row r="25" spans="2:52" ht="44.25" customHeight="1">
      <c r="F25" s="283"/>
      <c r="G25" s="283" t="s">
        <v>997</v>
      </c>
      <c r="H25" s="283" t="s">
        <v>2</v>
      </c>
      <c r="AD25" s="296" t="str">
        <f>IF('Datos ensayos LUM.'!BE26=TRUE,"X","")</f>
        <v/>
      </c>
      <c r="AE25" s="289" t="s">
        <v>1009</v>
      </c>
      <c r="AF25" s="289" t="s">
        <v>52</v>
      </c>
      <c r="AH25" s="283"/>
      <c r="AI25" s="283"/>
      <c r="AJ25" s="283"/>
      <c r="AL25" s="283"/>
      <c r="AM25" s="283" t="s">
        <v>4</v>
      </c>
      <c r="AN25" s="283"/>
      <c r="AP25" s="21"/>
      <c r="AQ25" s="362" t="s">
        <v>1034</v>
      </c>
      <c r="AR25" s="332" t="s">
        <v>832</v>
      </c>
      <c r="AX25" s="21"/>
      <c r="AY25" s="21"/>
      <c r="AZ25" s="21"/>
    </row>
    <row r="26" spans="2:52" ht="44.25" customHeight="1">
      <c r="F26" s="283"/>
      <c r="G26" s="283" t="s">
        <v>4</v>
      </c>
      <c r="H26" s="283"/>
      <c r="AD26" s="296" t="str">
        <f>IF('Datos ensayos LUM.'!BE28=TRUE,"X","")</f>
        <v/>
      </c>
      <c r="AE26" s="523" t="s">
        <v>1009</v>
      </c>
      <c r="AF26" s="523" t="s">
        <v>52</v>
      </c>
      <c r="AH26" s="283"/>
      <c r="AI26" s="283"/>
      <c r="AJ26" s="283"/>
      <c r="AL26" s="283"/>
      <c r="AM26" s="283"/>
      <c r="AN26" s="283"/>
      <c r="AP26" s="362"/>
      <c r="AQ26" s="362" t="s">
        <v>1002</v>
      </c>
      <c r="AR26" s="362" t="s">
        <v>7</v>
      </c>
      <c r="AX26" s="21"/>
      <c r="AY26" s="21"/>
      <c r="AZ26" s="21"/>
    </row>
    <row r="27" spans="2:52" ht="44.25" customHeight="1">
      <c r="F27" s="283"/>
      <c r="G27" s="283"/>
      <c r="H27" s="283"/>
      <c r="AD27" s="283"/>
      <c r="AE27" s="283" t="s">
        <v>999</v>
      </c>
      <c r="AF27" s="283" t="s">
        <v>3</v>
      </c>
      <c r="AL27" s="283"/>
      <c r="AM27" s="283"/>
      <c r="AN27" s="283"/>
      <c r="AP27" s="362"/>
      <c r="AQ27" s="362" t="s">
        <v>1003</v>
      </c>
      <c r="AR27" s="362" t="s">
        <v>64</v>
      </c>
      <c r="AX27" s="808" t="s">
        <v>694</v>
      </c>
      <c r="AY27" s="808"/>
      <c r="AZ27" s="808"/>
    </row>
    <row r="28" spans="2:52" ht="44.25" customHeight="1">
      <c r="F28" s="283"/>
      <c r="G28" s="283"/>
      <c r="H28" s="283"/>
      <c r="AD28" s="297" t="str">
        <f>IF('Datos ensayos LUM.'!AV70=TRUE,"X","")</f>
        <v/>
      </c>
      <c r="AE28" s="283" t="s">
        <v>1110</v>
      </c>
      <c r="AF28" s="283" t="s">
        <v>583</v>
      </c>
      <c r="AL28" s="283"/>
      <c r="AM28" s="807" t="s">
        <v>1237</v>
      </c>
      <c r="AN28" s="807"/>
      <c r="AP28" s="362"/>
      <c r="AQ28" s="362" t="s">
        <v>1030</v>
      </c>
      <c r="AR28" s="362" t="s">
        <v>556</v>
      </c>
      <c r="AX28" s="283"/>
      <c r="AY28" s="283" t="s">
        <v>1026</v>
      </c>
      <c r="AZ28" s="283" t="s">
        <v>699</v>
      </c>
    </row>
    <row r="29" spans="2:52" ht="44.25" customHeight="1">
      <c r="F29" s="284"/>
      <c r="G29" s="803" t="s">
        <v>1217</v>
      </c>
      <c r="H29" s="803"/>
      <c r="AD29" s="283"/>
      <c r="AE29" s="283" t="s">
        <v>4</v>
      </c>
      <c r="AF29" s="283"/>
      <c r="AL29" s="283"/>
      <c r="AM29" s="283" t="s">
        <v>1091</v>
      </c>
      <c r="AN29" s="283" t="s">
        <v>559</v>
      </c>
      <c r="AP29" s="362"/>
      <c r="AQ29" s="370" t="s">
        <v>1239</v>
      </c>
      <c r="AR29" s="370" t="s">
        <v>14</v>
      </c>
      <c r="AX29" s="283"/>
      <c r="AY29" s="283" t="s">
        <v>997</v>
      </c>
      <c r="AZ29" s="283" t="s">
        <v>2</v>
      </c>
    </row>
    <row r="30" spans="2:52" ht="44.25" customHeight="1">
      <c r="F30" s="298" t="str">
        <f>IF('Datos ensayos LUM.'!D108=TRUE,"X","")</f>
        <v>X</v>
      </c>
      <c r="G30" s="283" t="s">
        <v>1004</v>
      </c>
      <c r="H30" s="283" t="s">
        <v>299</v>
      </c>
      <c r="AD30" s="283"/>
      <c r="AE30" s="283"/>
      <c r="AF30" s="283"/>
      <c r="AL30" s="283"/>
      <c r="AM30" s="283" t="s">
        <v>999</v>
      </c>
      <c r="AN30" s="283" t="s">
        <v>78</v>
      </c>
      <c r="AP30" s="362"/>
      <c r="AQ30" s="362" t="s">
        <v>1000</v>
      </c>
      <c r="AR30" s="362" t="s">
        <v>833</v>
      </c>
      <c r="AX30" s="21"/>
      <c r="AY30" s="21" t="s">
        <v>4</v>
      </c>
      <c r="AZ30" s="21"/>
    </row>
    <row r="31" spans="2:52" ht="44.25" customHeight="1">
      <c r="F31" s="298" t="str">
        <f>IF('Datos ensayos LUM.'!D109=TRUE,"X","")</f>
        <v/>
      </c>
      <c r="G31" s="283" t="s">
        <v>1005</v>
      </c>
      <c r="H31" s="283" t="s">
        <v>1006</v>
      </c>
      <c r="AD31" s="283"/>
      <c r="AE31" s="283"/>
      <c r="AF31" s="283"/>
      <c r="AL31" s="283"/>
      <c r="AM31" s="283" t="s">
        <v>997</v>
      </c>
      <c r="AN31" s="283" t="s">
        <v>2</v>
      </c>
      <c r="AP31" s="362"/>
      <c r="AQ31" s="362" t="s">
        <v>1020</v>
      </c>
      <c r="AR31" s="362" t="s">
        <v>834</v>
      </c>
      <c r="AX31" s="21"/>
      <c r="AY31" s="21"/>
      <c r="AZ31" s="21"/>
    </row>
    <row r="32" spans="2:52" ht="44.25" customHeight="1">
      <c r="F32" s="298"/>
      <c r="G32" s="283" t="s">
        <v>1007</v>
      </c>
      <c r="H32" s="283" t="s">
        <v>13</v>
      </c>
      <c r="AD32" s="283"/>
      <c r="AE32" s="283"/>
      <c r="AF32" s="283"/>
      <c r="AL32" s="283"/>
      <c r="AM32" s="283" t="s">
        <v>4</v>
      </c>
      <c r="AN32" s="283"/>
      <c r="AP32" s="362"/>
      <c r="AQ32" s="362" t="s">
        <v>999</v>
      </c>
      <c r="AR32" s="362" t="s">
        <v>78</v>
      </c>
      <c r="AX32" s="21"/>
      <c r="AY32" s="21"/>
      <c r="AZ32" s="21"/>
    </row>
    <row r="33" spans="6:52" ht="44.25" customHeight="1">
      <c r="F33" s="299"/>
      <c r="G33" s="283" t="s">
        <v>1239</v>
      </c>
      <c r="H33" s="283" t="s">
        <v>14</v>
      </c>
      <c r="AD33" s="283"/>
      <c r="AE33" s="283"/>
      <c r="AF33" s="283"/>
      <c r="AL33" s="283"/>
      <c r="AM33" s="283"/>
      <c r="AN33" s="283"/>
      <c r="AP33" s="362"/>
      <c r="AQ33" s="370" t="s">
        <v>997</v>
      </c>
      <c r="AR33" s="370" t="s">
        <v>2</v>
      </c>
      <c r="AX33" s="21"/>
      <c r="AY33" s="21"/>
      <c r="AZ33" s="21"/>
    </row>
    <row r="34" spans="6:52" ht="44.25" customHeight="1">
      <c r="F34" s="283"/>
      <c r="G34" s="283" t="s">
        <v>1002</v>
      </c>
      <c r="H34" s="283" t="s">
        <v>7</v>
      </c>
      <c r="AL34" s="283"/>
      <c r="AM34" s="283"/>
      <c r="AN34" s="283"/>
      <c r="AP34" s="362"/>
      <c r="AQ34" s="362" t="s">
        <v>4</v>
      </c>
      <c r="AR34" s="362"/>
      <c r="AX34" s="809" t="s">
        <v>698</v>
      </c>
      <c r="AY34" s="809"/>
      <c r="AZ34" s="809"/>
    </row>
    <row r="35" spans="6:52" ht="44.25" customHeight="1">
      <c r="F35" s="300" t="str">
        <f>IF('Datos ensayos LUM.'!BF26=TRUE,"X","")</f>
        <v/>
      </c>
      <c r="G35" s="289" t="s">
        <v>1009</v>
      </c>
      <c r="H35" s="289" t="s">
        <v>15</v>
      </c>
      <c r="AL35" s="283"/>
      <c r="AM35" s="283"/>
      <c r="AN35" s="283"/>
      <c r="AP35" s="362"/>
      <c r="AQ35" s="362"/>
      <c r="AR35" s="362"/>
      <c r="AX35" s="21"/>
      <c r="AY35" s="803" t="s">
        <v>704</v>
      </c>
      <c r="AZ35" s="803"/>
    </row>
    <row r="36" spans="6:52" ht="44.25" customHeight="1">
      <c r="F36" s="300" t="str">
        <f>IF('Datos ensayos LUM.'!BF27=TRUE,"X","")</f>
        <v/>
      </c>
      <c r="G36" s="289" t="s">
        <v>1010</v>
      </c>
      <c r="H36" s="289" t="s">
        <v>1011</v>
      </c>
      <c r="AL36" s="21"/>
      <c r="AM36" s="804" t="s">
        <v>1238</v>
      </c>
      <c r="AN36" s="804"/>
      <c r="AP36" s="362"/>
      <c r="AQ36" s="362"/>
      <c r="AR36" s="362"/>
      <c r="AX36" s="21"/>
      <c r="AY36" s="283" t="s">
        <v>1019</v>
      </c>
      <c r="AZ36" s="283" t="s">
        <v>690</v>
      </c>
    </row>
    <row r="37" spans="6:52" ht="44.25" customHeight="1">
      <c r="F37" s="300" t="str">
        <f>IF('Datos ensayos LUM.'!BF28=TRUE,"X","")</f>
        <v/>
      </c>
      <c r="G37" s="523" t="s">
        <v>1010</v>
      </c>
      <c r="H37" s="523" t="s">
        <v>1011</v>
      </c>
      <c r="AL37" s="21"/>
      <c r="AM37" s="283" t="s">
        <v>1092</v>
      </c>
      <c r="AN37" s="283" t="s">
        <v>586</v>
      </c>
      <c r="AP37" s="362"/>
      <c r="AQ37" s="362"/>
      <c r="AR37" s="362"/>
      <c r="AX37" s="21"/>
      <c r="AY37" s="283" t="s">
        <v>997</v>
      </c>
      <c r="AZ37" s="283" t="s">
        <v>2</v>
      </c>
    </row>
    <row r="38" spans="6:52" ht="44.25" customHeight="1">
      <c r="F38" s="301" t="str">
        <f>IF('Datos ensayos LUM.'!BE26=TRUE,"X","")</f>
        <v/>
      </c>
      <c r="G38" s="289" t="s">
        <v>1010</v>
      </c>
      <c r="H38" s="289" t="s">
        <v>1011</v>
      </c>
      <c r="AL38" s="21"/>
      <c r="AM38" s="283" t="s">
        <v>999</v>
      </c>
      <c r="AN38" s="283" t="s">
        <v>78</v>
      </c>
      <c r="AX38" s="21"/>
      <c r="AY38" s="21" t="s">
        <v>4</v>
      </c>
      <c r="AZ38" s="21"/>
    </row>
    <row r="39" spans="6:52" ht="44.25" customHeight="1">
      <c r="F39" s="301" t="str">
        <f>IF('Datos ensayos LUM.'!BE28=TRUE,"X","")</f>
        <v/>
      </c>
      <c r="G39" s="523" t="s">
        <v>1010</v>
      </c>
      <c r="H39" s="523" t="s">
        <v>1011</v>
      </c>
      <c r="AL39" s="21"/>
      <c r="AM39" s="283" t="s">
        <v>1030</v>
      </c>
      <c r="AN39" s="283" t="s">
        <v>1093</v>
      </c>
      <c r="AP39" s="371"/>
      <c r="AQ39" s="371"/>
      <c r="AR39" s="371"/>
      <c r="AX39" s="21"/>
      <c r="AY39" s="21"/>
      <c r="AZ39" s="21"/>
    </row>
    <row r="40" spans="6:52" ht="44.25" customHeight="1">
      <c r="F40" s="283"/>
      <c r="G40" s="283" t="s">
        <v>997</v>
      </c>
      <c r="H40" s="283" t="s">
        <v>2</v>
      </c>
      <c r="AL40" s="21"/>
      <c r="AM40" s="283" t="s">
        <v>1002</v>
      </c>
      <c r="AN40" s="283" t="s">
        <v>7</v>
      </c>
      <c r="AP40" s="371"/>
      <c r="AQ40" s="371"/>
      <c r="AR40" s="371"/>
      <c r="AX40" s="21"/>
      <c r="AY40" s="21"/>
      <c r="AZ40" s="21"/>
    </row>
    <row r="41" spans="6:52" ht="44.25" customHeight="1">
      <c r="F41" s="283"/>
      <c r="G41" s="283" t="s">
        <v>999</v>
      </c>
      <c r="H41" s="283" t="s">
        <v>3</v>
      </c>
      <c r="AL41" s="21"/>
      <c r="AM41" s="283" t="s">
        <v>1111</v>
      </c>
      <c r="AN41" s="283" t="s">
        <v>587</v>
      </c>
      <c r="AP41" s="371"/>
      <c r="AQ41" s="371"/>
      <c r="AR41" s="371"/>
      <c r="AX41" s="283"/>
      <c r="AY41" s="803" t="s">
        <v>707</v>
      </c>
      <c r="AZ41" s="803"/>
    </row>
    <row r="42" spans="6:52" ht="44.25" customHeight="1">
      <c r="F42" s="283"/>
      <c r="G42" s="283" t="s">
        <v>4</v>
      </c>
      <c r="H42" s="283"/>
      <c r="AL42" s="21"/>
      <c r="AM42" s="283" t="s">
        <v>1094</v>
      </c>
      <c r="AN42" s="283" t="s">
        <v>588</v>
      </c>
      <c r="AP42" s="371"/>
      <c r="AQ42" s="371"/>
      <c r="AR42" s="371"/>
      <c r="AX42" s="283"/>
      <c r="AY42" s="283" t="s">
        <v>1024</v>
      </c>
      <c r="AZ42" s="283" t="s">
        <v>691</v>
      </c>
    </row>
    <row r="43" spans="6:52" ht="44.25" customHeight="1">
      <c r="F43" s="283"/>
      <c r="G43" s="283"/>
      <c r="H43" s="283"/>
      <c r="AL43" s="21"/>
      <c r="AM43" s="283" t="s">
        <v>997</v>
      </c>
      <c r="AN43" s="283" t="s">
        <v>2</v>
      </c>
      <c r="AP43" s="371"/>
      <c r="AQ43" s="371"/>
      <c r="AR43" s="371"/>
      <c r="AX43" s="283"/>
      <c r="AY43" s="283" t="s">
        <v>997</v>
      </c>
      <c r="AZ43" s="283" t="s">
        <v>2</v>
      </c>
    </row>
    <row r="44" spans="6:52" ht="44.25" customHeight="1">
      <c r="F44" s="283"/>
      <c r="G44" s="283"/>
      <c r="H44" s="283"/>
      <c r="AL44" s="21"/>
      <c r="AM44" s="283" t="s">
        <v>4</v>
      </c>
      <c r="AN44" s="283"/>
      <c r="AP44" s="371"/>
      <c r="AQ44" s="371"/>
      <c r="AR44" s="371"/>
      <c r="AX44" s="283"/>
      <c r="AY44" s="21" t="s">
        <v>4</v>
      </c>
      <c r="AZ44" s="21"/>
    </row>
    <row r="45" spans="6:52" ht="44.25" customHeight="1">
      <c r="F45" s="284"/>
      <c r="G45" s="803" t="s">
        <v>1218</v>
      </c>
      <c r="H45" s="803"/>
      <c r="AL45" s="21"/>
      <c r="AM45" s="283"/>
      <c r="AN45" s="283"/>
      <c r="AP45" s="371"/>
      <c r="AQ45" s="371"/>
      <c r="AR45" s="371"/>
      <c r="AX45" s="21"/>
      <c r="AY45" s="21"/>
      <c r="AZ45" s="21"/>
    </row>
    <row r="46" spans="6:52" ht="44.25" customHeight="1">
      <c r="F46" s="283"/>
      <c r="G46" s="283" t="s">
        <v>1012</v>
      </c>
      <c r="H46" s="283" t="s">
        <v>18</v>
      </c>
      <c r="AL46" s="21"/>
      <c r="AM46" s="283"/>
      <c r="AN46" s="283"/>
      <c r="AP46" s="371"/>
      <c r="AQ46" s="371"/>
      <c r="AR46" s="371"/>
      <c r="AX46" s="283"/>
      <c r="AY46" s="803" t="s">
        <v>708</v>
      </c>
      <c r="AZ46" s="803"/>
    </row>
    <row r="47" spans="6:52" ht="44.25" customHeight="1">
      <c r="F47" s="283"/>
      <c r="G47" s="283" t="s">
        <v>1013</v>
      </c>
      <c r="H47" s="283" t="s">
        <v>19</v>
      </c>
      <c r="AL47" s="21"/>
      <c r="AM47" s="283"/>
      <c r="AN47" s="283"/>
      <c r="AP47" s="371"/>
      <c r="AQ47" s="371"/>
      <c r="AR47" s="371"/>
      <c r="AX47" s="21"/>
      <c r="AY47" s="804" t="s">
        <v>628</v>
      </c>
      <c r="AZ47" s="804"/>
    </row>
    <row r="48" spans="6:52" ht="44.25" customHeight="1">
      <c r="F48" s="283"/>
      <c r="G48" s="283" t="s">
        <v>997</v>
      </c>
      <c r="H48" s="283" t="s">
        <v>2</v>
      </c>
      <c r="AP48" s="371"/>
      <c r="AQ48" s="371"/>
      <c r="AR48" s="371"/>
      <c r="AX48" s="21"/>
      <c r="AY48" s="319" t="s">
        <v>1016</v>
      </c>
      <c r="AZ48" s="319" t="s">
        <v>23</v>
      </c>
    </row>
    <row r="49" spans="6:52" ht="44.25" customHeight="1">
      <c r="F49" s="283"/>
      <c r="G49" s="283" t="s">
        <v>4</v>
      </c>
      <c r="H49" s="283"/>
      <c r="AP49" s="371"/>
      <c r="AQ49" s="371"/>
      <c r="AR49" s="371"/>
      <c r="AX49" s="21"/>
      <c r="AY49" s="319" t="s">
        <v>1002</v>
      </c>
      <c r="AZ49" s="319" t="s">
        <v>7</v>
      </c>
    </row>
    <row r="50" spans="6:52" ht="44.25" customHeight="1">
      <c r="F50" s="283"/>
      <c r="G50" s="283"/>
      <c r="H50" s="283"/>
      <c r="AP50" s="371"/>
      <c r="AQ50" s="371"/>
      <c r="AR50" s="371"/>
      <c r="AX50" s="21"/>
      <c r="AY50" s="283" t="s">
        <v>997</v>
      </c>
      <c r="AZ50" s="319" t="s">
        <v>626</v>
      </c>
    </row>
    <row r="51" spans="6:52" ht="44.25" customHeight="1">
      <c r="F51" s="283"/>
      <c r="G51" s="283"/>
      <c r="H51" s="283"/>
      <c r="AP51" s="371"/>
      <c r="AQ51" s="371"/>
      <c r="AR51" s="371"/>
      <c r="AX51" s="21"/>
      <c r="AY51" s="319" t="s">
        <v>1025</v>
      </c>
      <c r="AZ51" s="319" t="s">
        <v>693</v>
      </c>
    </row>
    <row r="52" spans="6:52" ht="44.25" customHeight="1">
      <c r="F52" s="283"/>
      <c r="G52" s="803" t="s">
        <v>1219</v>
      </c>
      <c r="H52" s="803"/>
      <c r="AP52" s="371"/>
      <c r="AQ52" s="371"/>
      <c r="AR52" s="371"/>
      <c r="AX52" s="21"/>
      <c r="AY52" s="319" t="s">
        <v>4</v>
      </c>
      <c r="AZ52" s="21"/>
    </row>
    <row r="53" spans="6:52" ht="44.25" customHeight="1">
      <c r="F53" s="283"/>
      <c r="G53" s="283" t="s">
        <v>1000</v>
      </c>
      <c r="H53" s="283" t="s">
        <v>5</v>
      </c>
      <c r="AP53" s="371"/>
      <c r="AQ53" s="371"/>
      <c r="AR53" s="371"/>
      <c r="AX53" s="21"/>
      <c r="AY53" s="21"/>
      <c r="AZ53" s="21"/>
    </row>
    <row r="54" spans="6:52" ht="44.25" customHeight="1">
      <c r="F54" s="283"/>
      <c r="G54" s="283" t="s">
        <v>1001</v>
      </c>
      <c r="H54" s="283" t="s">
        <v>6</v>
      </c>
      <c r="AP54" s="371"/>
      <c r="AQ54" s="371"/>
      <c r="AR54" s="371"/>
      <c r="AX54" s="21"/>
      <c r="AY54" s="21"/>
      <c r="AZ54" s="21"/>
    </row>
    <row r="55" spans="6:52" ht="44.25" customHeight="1">
      <c r="F55" s="283"/>
      <c r="G55" s="283" t="s">
        <v>1002</v>
      </c>
      <c r="H55" s="283" t="s">
        <v>7</v>
      </c>
      <c r="AP55" s="371"/>
      <c r="AQ55" s="371"/>
      <c r="AR55" s="371"/>
      <c r="AX55" s="21"/>
      <c r="AY55" s="21"/>
      <c r="AZ55" s="21"/>
    </row>
    <row r="56" spans="6:52" ht="44.25" customHeight="1">
      <c r="F56" s="283"/>
      <c r="G56" s="283" t="s">
        <v>1003</v>
      </c>
      <c r="H56" s="283" t="s">
        <v>8</v>
      </c>
      <c r="AP56" s="371"/>
      <c r="AQ56" s="371"/>
      <c r="AR56" s="371"/>
      <c r="AX56" s="809" t="s">
        <v>709</v>
      </c>
      <c r="AY56" s="809"/>
      <c r="AZ56" s="809"/>
    </row>
    <row r="57" spans="6:52" ht="44.25" customHeight="1">
      <c r="F57" s="283"/>
      <c r="G57" s="283" t="s">
        <v>997</v>
      </c>
      <c r="H57" s="283" t="s">
        <v>2</v>
      </c>
      <c r="AP57" s="371"/>
      <c r="AQ57" s="371"/>
      <c r="AR57" s="371"/>
      <c r="AX57" s="21"/>
      <c r="AY57" s="812" t="s">
        <v>723</v>
      </c>
      <c r="AZ57" s="812"/>
    </row>
    <row r="58" spans="6:52" ht="44.25" customHeight="1">
      <c r="F58" s="283"/>
      <c r="G58" s="283" t="s">
        <v>1014</v>
      </c>
      <c r="H58" s="283" t="s">
        <v>21</v>
      </c>
      <c r="AP58" s="371"/>
      <c r="AQ58" s="371"/>
      <c r="AR58" s="371"/>
      <c r="AX58" s="21"/>
      <c r="AY58" s="332" t="s">
        <v>1026</v>
      </c>
      <c r="AZ58" s="332" t="s">
        <v>699</v>
      </c>
    </row>
    <row r="59" spans="6:52" ht="44.25" customHeight="1">
      <c r="F59" s="283"/>
      <c r="G59" s="283" t="s">
        <v>1015</v>
      </c>
      <c r="H59" s="283" t="s">
        <v>22</v>
      </c>
      <c r="AP59" s="371"/>
      <c r="AQ59" s="371"/>
      <c r="AR59" s="371"/>
      <c r="AX59" s="21"/>
      <c r="AY59" s="283" t="s">
        <v>997</v>
      </c>
      <c r="AZ59" s="332" t="s">
        <v>626</v>
      </c>
    </row>
    <row r="60" spans="6:52" ht="44.25" customHeight="1">
      <c r="F60" s="283"/>
      <c r="G60" s="283" t="s">
        <v>999</v>
      </c>
      <c r="H60" s="283" t="s">
        <v>3</v>
      </c>
      <c r="AP60" s="371"/>
      <c r="AQ60" s="371"/>
      <c r="AR60" s="371"/>
      <c r="AX60" s="21"/>
      <c r="AY60" s="21" t="s">
        <v>4</v>
      </c>
      <c r="AZ60" s="21"/>
    </row>
    <row r="61" spans="6:52" ht="44.25" customHeight="1">
      <c r="F61" s="283"/>
      <c r="G61" s="283" t="s">
        <v>1016</v>
      </c>
      <c r="H61" s="283" t="s">
        <v>23</v>
      </c>
      <c r="AX61" s="21"/>
      <c r="AY61" s="21"/>
      <c r="AZ61" s="21"/>
    </row>
    <row r="62" spans="6:52" ht="44.25" customHeight="1">
      <c r="F62" s="283"/>
      <c r="G62" s="283" t="s">
        <v>4</v>
      </c>
      <c r="H62" s="283"/>
      <c r="AX62" s="21"/>
      <c r="AY62" s="21"/>
      <c r="AZ62" s="21"/>
    </row>
    <row r="63" spans="6:52" ht="44.25" customHeight="1">
      <c r="F63" s="283"/>
      <c r="G63" s="283"/>
      <c r="H63" s="283"/>
      <c r="AX63" s="21"/>
      <c r="AY63" s="21"/>
      <c r="AZ63" s="21"/>
    </row>
    <row r="64" spans="6:52" ht="44.25" customHeight="1">
      <c r="F64" s="283"/>
      <c r="G64" s="283"/>
      <c r="H64" s="283"/>
      <c r="AX64" s="21"/>
      <c r="AY64" s="812" t="s">
        <v>724</v>
      </c>
      <c r="AZ64" s="812"/>
    </row>
    <row r="65" spans="6:52" ht="44.25" customHeight="1">
      <c r="F65" s="283"/>
      <c r="G65" s="803" t="s">
        <v>1220</v>
      </c>
      <c r="H65" s="803"/>
      <c r="AX65" s="21"/>
      <c r="AY65" s="332" t="s">
        <v>1018</v>
      </c>
      <c r="AZ65" s="332" t="s">
        <v>26</v>
      </c>
    </row>
    <row r="66" spans="6:52" ht="44.25" customHeight="1">
      <c r="F66" s="283"/>
      <c r="G66" s="283" t="s">
        <v>1017</v>
      </c>
      <c r="H66" s="283" t="s">
        <v>25</v>
      </c>
      <c r="AX66" s="21"/>
      <c r="AY66" s="332" t="s">
        <v>1121</v>
      </c>
      <c r="AZ66" s="332" t="s">
        <v>725</v>
      </c>
    </row>
    <row r="67" spans="6:52" ht="44.25" customHeight="1">
      <c r="F67" s="283"/>
      <c r="G67" s="283" t="s">
        <v>1018</v>
      </c>
      <c r="H67" s="283" t="s">
        <v>26</v>
      </c>
      <c r="AX67" s="21"/>
      <c r="AY67" s="283" t="s">
        <v>997</v>
      </c>
      <c r="AZ67" s="332" t="s">
        <v>626</v>
      </c>
    </row>
    <row r="68" spans="6:52" ht="44.25" customHeight="1">
      <c r="F68" s="283"/>
      <c r="G68" s="283" t="s">
        <v>1012</v>
      </c>
      <c r="H68" s="283" t="s">
        <v>27</v>
      </c>
      <c r="AX68" s="21"/>
      <c r="AY68" s="21" t="s">
        <v>4</v>
      </c>
      <c r="AZ68" s="21"/>
    </row>
    <row r="69" spans="6:52" ht="44.25" customHeight="1">
      <c r="F69" s="283"/>
      <c r="G69" s="283" t="s">
        <v>997</v>
      </c>
      <c r="H69" s="283" t="s">
        <v>2</v>
      </c>
      <c r="AX69" s="21"/>
      <c r="AY69" s="21"/>
      <c r="AZ69" s="21"/>
    </row>
    <row r="70" spans="6:52" ht="44.25" customHeight="1">
      <c r="F70" s="283"/>
      <c r="G70" s="283" t="s">
        <v>4</v>
      </c>
      <c r="H70" s="283"/>
      <c r="AX70" s="21"/>
      <c r="AY70" s="21"/>
      <c r="AZ70" s="21"/>
    </row>
    <row r="71" spans="6:52" ht="44.25" customHeight="1">
      <c r="F71" s="283"/>
      <c r="G71" s="283"/>
      <c r="H71" s="283"/>
      <c r="AX71" s="21"/>
      <c r="AY71" s="21"/>
      <c r="AZ71" s="21"/>
    </row>
    <row r="72" spans="6:52" ht="44.25" customHeight="1">
      <c r="F72" s="283"/>
      <c r="G72" s="803" t="s">
        <v>1221</v>
      </c>
      <c r="H72" s="803"/>
      <c r="AX72" s="809" t="s">
        <v>712</v>
      </c>
      <c r="AY72" s="809"/>
      <c r="AZ72" s="809"/>
    </row>
    <row r="73" spans="6:52" ht="44.25" customHeight="1">
      <c r="F73" s="283"/>
      <c r="G73" s="283" t="s">
        <v>1019</v>
      </c>
      <c r="H73" s="283" t="s">
        <v>29</v>
      </c>
      <c r="AX73" s="21"/>
      <c r="AY73" s="812" t="s">
        <v>737</v>
      </c>
      <c r="AZ73" s="812"/>
    </row>
    <row r="74" spans="6:52" ht="44.25" customHeight="1">
      <c r="F74" s="283"/>
      <c r="G74" s="283" t="s">
        <v>1000</v>
      </c>
      <c r="H74" s="283" t="s">
        <v>30</v>
      </c>
      <c r="AX74" s="21"/>
      <c r="AY74" s="283" t="s">
        <v>1122</v>
      </c>
      <c r="AZ74" s="283" t="s">
        <v>862</v>
      </c>
    </row>
    <row r="75" spans="6:52" ht="44.25" customHeight="1">
      <c r="F75" s="283"/>
      <c r="G75" s="283" t="s">
        <v>1020</v>
      </c>
      <c r="H75" s="283" t="s">
        <v>30</v>
      </c>
      <c r="AX75" s="21"/>
      <c r="AY75" s="283" t="s">
        <v>997</v>
      </c>
      <c r="AZ75" s="332" t="s">
        <v>626</v>
      </c>
    </row>
    <row r="76" spans="6:52" ht="44.25" customHeight="1">
      <c r="F76" s="283"/>
      <c r="G76" s="283" t="s">
        <v>997</v>
      </c>
      <c r="H76" s="283" t="s">
        <v>2</v>
      </c>
      <c r="AX76" s="21"/>
      <c r="AY76" s="21" t="s">
        <v>4</v>
      </c>
      <c r="AZ76" s="21"/>
    </row>
    <row r="77" spans="6:52" ht="44.25" customHeight="1">
      <c r="F77" s="283"/>
      <c r="G77" s="283" t="s">
        <v>4</v>
      </c>
      <c r="H77" s="283"/>
      <c r="AX77" s="21"/>
      <c r="AY77" s="21"/>
      <c r="AZ77" s="21"/>
    </row>
    <row r="78" spans="6:52" ht="44.25" customHeight="1">
      <c r="F78" s="283"/>
      <c r="G78" s="283"/>
      <c r="H78" s="283"/>
      <c r="AX78" s="21"/>
      <c r="AY78" s="21"/>
      <c r="AZ78" s="21"/>
    </row>
    <row r="79" spans="6:52" ht="44.25" customHeight="1">
      <c r="F79" s="283"/>
      <c r="G79" s="283"/>
      <c r="H79" s="283"/>
      <c r="AX79" s="809" t="s">
        <v>715</v>
      </c>
      <c r="AY79" s="809"/>
      <c r="AZ79" s="809"/>
    </row>
    <row r="80" spans="6:52" ht="44.25" customHeight="1">
      <c r="F80" s="283"/>
      <c r="G80" s="803" t="s">
        <v>1222</v>
      </c>
      <c r="H80" s="803"/>
      <c r="AX80" s="21"/>
      <c r="AY80" s="816" t="s">
        <v>738</v>
      </c>
      <c r="AZ80" s="802"/>
    </row>
    <row r="81" spans="6:52" ht="44.25" customHeight="1">
      <c r="F81" s="285" t="str">
        <f>IF('Datos ensayos LUM.'!C190=TRUE,"X"," ")</f>
        <v>X</v>
      </c>
      <c r="G81" s="283" t="s">
        <v>1004</v>
      </c>
      <c r="H81" s="283" t="s">
        <v>32</v>
      </c>
      <c r="AX81" s="21"/>
      <c r="AY81" s="21" t="s">
        <v>1018</v>
      </c>
      <c r="AZ81" s="21" t="s">
        <v>26</v>
      </c>
    </row>
    <row r="82" spans="6:52" ht="44.25" customHeight="1">
      <c r="F82" s="286" t="str">
        <f>IF('Datos ensayos LUM.'!E190=TRUE,"X"," ")</f>
        <v xml:space="preserve"> </v>
      </c>
      <c r="G82" s="283" t="s">
        <v>1239</v>
      </c>
      <c r="H82" s="283" t="s">
        <v>14</v>
      </c>
      <c r="AX82" s="21"/>
      <c r="AY82" s="21" t="s">
        <v>997</v>
      </c>
      <c r="AZ82" s="21" t="s">
        <v>2</v>
      </c>
    </row>
    <row r="83" spans="6:52" ht="44.25" customHeight="1">
      <c r="F83" s="283"/>
      <c r="G83" s="283" t="s">
        <v>1021</v>
      </c>
      <c r="H83" s="283" t="s">
        <v>33</v>
      </c>
      <c r="AX83" s="21"/>
      <c r="AY83" s="283" t="s">
        <v>997</v>
      </c>
      <c r="AZ83" s="332" t="s">
        <v>626</v>
      </c>
    </row>
    <row r="84" spans="6:52" ht="44.25" customHeight="1">
      <c r="F84" s="283"/>
      <c r="G84" s="283" t="s">
        <v>997</v>
      </c>
      <c r="H84" s="283" t="s">
        <v>2</v>
      </c>
      <c r="AX84" s="21"/>
      <c r="AY84" s="21" t="s">
        <v>4</v>
      </c>
      <c r="AZ84" s="21"/>
    </row>
    <row r="85" spans="6:52" ht="44.25" customHeight="1">
      <c r="F85" s="283"/>
      <c r="G85" s="283" t="s">
        <v>999</v>
      </c>
      <c r="H85" s="283" t="s">
        <v>3</v>
      </c>
      <c r="AX85" s="21"/>
      <c r="AY85" s="21"/>
      <c r="AZ85" s="21"/>
    </row>
    <row r="86" spans="6:52" ht="44.25" customHeight="1">
      <c r="F86" s="283"/>
      <c r="G86" s="283" t="s">
        <v>4</v>
      </c>
      <c r="H86" s="283"/>
      <c r="AX86" s="21"/>
      <c r="AY86" s="21"/>
      <c r="AZ86" s="21"/>
    </row>
    <row r="87" spans="6:52" ht="44.25" customHeight="1">
      <c r="F87" s="283"/>
      <c r="G87" s="283"/>
      <c r="H87" s="283"/>
      <c r="AX87" s="21"/>
      <c r="AY87" s="816" t="s">
        <v>740</v>
      </c>
      <c r="AZ87" s="802"/>
    </row>
    <row r="88" spans="6:52" ht="44.25" customHeight="1">
      <c r="F88" s="283"/>
      <c r="G88" s="283"/>
      <c r="H88" s="283"/>
      <c r="AX88" s="21"/>
      <c r="AY88" s="333" t="s">
        <v>1028</v>
      </c>
      <c r="AZ88" s="332" t="s">
        <v>748</v>
      </c>
    </row>
    <row r="89" spans="6:52" ht="44.25" customHeight="1">
      <c r="F89" s="283"/>
      <c r="G89" s="803" t="s">
        <v>1223</v>
      </c>
      <c r="H89" s="803"/>
      <c r="AX89" s="21"/>
      <c r="AY89" s="283" t="s">
        <v>997</v>
      </c>
      <c r="AZ89" s="332" t="s">
        <v>626</v>
      </c>
    </row>
    <row r="90" spans="6:52" ht="44.25" customHeight="1">
      <c r="F90" s="283"/>
      <c r="G90" s="283" t="s">
        <v>1022</v>
      </c>
      <c r="H90" s="283" t="s">
        <v>34</v>
      </c>
      <c r="AX90" s="332"/>
      <c r="AY90" s="332" t="s">
        <v>1027</v>
      </c>
      <c r="AZ90" s="332" t="s">
        <v>557</v>
      </c>
    </row>
    <row r="91" spans="6:52" ht="44.25" customHeight="1">
      <c r="F91" s="283"/>
      <c r="G91" s="283" t="s">
        <v>1016</v>
      </c>
      <c r="H91" s="283" t="s">
        <v>23</v>
      </c>
      <c r="AX91" s="21"/>
      <c r="AY91" s="332" t="s">
        <v>4</v>
      </c>
      <c r="AZ91" s="21"/>
    </row>
    <row r="92" spans="6:52" ht="44.25" customHeight="1">
      <c r="F92" s="283"/>
      <c r="G92" s="283" t="s">
        <v>4</v>
      </c>
      <c r="H92" s="283"/>
      <c r="AX92" s="21"/>
      <c r="AY92" s="21"/>
      <c r="AZ92" s="21"/>
    </row>
    <row r="93" spans="6:52" ht="44.25" customHeight="1">
      <c r="F93" s="283"/>
      <c r="G93" s="283"/>
      <c r="H93" s="283"/>
      <c r="AX93" s="809" t="s">
        <v>716</v>
      </c>
      <c r="AY93" s="809"/>
      <c r="AZ93" s="809"/>
    </row>
    <row r="94" spans="6:52" ht="44.25" customHeight="1">
      <c r="F94" s="283"/>
      <c r="G94" s="283"/>
      <c r="H94" s="283"/>
      <c r="AX94" s="21"/>
      <c r="AY94" s="801" t="s">
        <v>807</v>
      </c>
      <c r="AZ94" s="802"/>
    </row>
    <row r="95" spans="6:52" ht="44.25" customHeight="1">
      <c r="F95" s="283"/>
      <c r="G95" s="803" t="s">
        <v>1224</v>
      </c>
      <c r="H95" s="803"/>
      <c r="AX95" s="21"/>
      <c r="AY95" s="283" t="s">
        <v>1239</v>
      </c>
      <c r="AZ95" s="332" t="s">
        <v>14</v>
      </c>
    </row>
    <row r="96" spans="6:52" ht="44.25" customHeight="1">
      <c r="F96" s="283"/>
      <c r="G96" s="283" t="s">
        <v>1239</v>
      </c>
      <c r="H96" s="283" t="s">
        <v>14</v>
      </c>
      <c r="AX96" s="21"/>
      <c r="AY96" s="283" t="s">
        <v>1022</v>
      </c>
      <c r="AZ96" s="332" t="s">
        <v>34</v>
      </c>
    </row>
    <row r="97" spans="6:52" ht="44.25" customHeight="1">
      <c r="F97" s="283"/>
      <c r="G97" s="283" t="s">
        <v>1016</v>
      </c>
      <c r="H97" s="283" t="s">
        <v>23</v>
      </c>
      <c r="AX97" s="21"/>
      <c r="AY97" s="283" t="s">
        <v>999</v>
      </c>
      <c r="AZ97" s="332" t="s">
        <v>3</v>
      </c>
    </row>
    <row r="98" spans="6:52" ht="44.25" customHeight="1">
      <c r="F98" s="283"/>
      <c r="G98" s="283" t="s">
        <v>4</v>
      </c>
      <c r="H98" s="283"/>
      <c r="AX98" s="21"/>
      <c r="AY98" s="283" t="s">
        <v>997</v>
      </c>
      <c r="AZ98" s="332" t="s">
        <v>626</v>
      </c>
    </row>
    <row r="99" spans="6:52" ht="44.25" customHeight="1">
      <c r="F99" s="283"/>
      <c r="G99" s="283"/>
      <c r="H99" s="283"/>
      <c r="AX99" s="21"/>
      <c r="AY99" s="283" t="s">
        <v>1016</v>
      </c>
      <c r="AZ99" s="332" t="s">
        <v>23</v>
      </c>
    </row>
    <row r="100" spans="6:52" ht="44.25" customHeight="1">
      <c r="F100" s="283"/>
      <c r="G100" s="283"/>
      <c r="H100" s="283"/>
      <c r="AX100" s="21"/>
      <c r="AY100" s="283" t="s">
        <v>4</v>
      </c>
      <c r="AZ100" s="332"/>
    </row>
    <row r="101" spans="6:52" ht="44.25" customHeight="1">
      <c r="F101" s="283"/>
      <c r="G101" s="283"/>
      <c r="H101" s="283"/>
      <c r="AX101" s="21"/>
      <c r="AY101" s="21"/>
      <c r="AZ101" s="21"/>
    </row>
    <row r="102" spans="6:52" ht="44.25" customHeight="1">
      <c r="F102" s="21"/>
      <c r="G102" s="812" t="s">
        <v>1225</v>
      </c>
      <c r="H102" s="812"/>
      <c r="AX102" s="21"/>
      <c r="AY102" s="21"/>
      <c r="AZ102" s="21"/>
    </row>
    <row r="103" spans="6:52" ht="44.25" customHeight="1">
      <c r="F103" s="21"/>
      <c r="G103" s="21" t="s">
        <v>1023</v>
      </c>
      <c r="H103" s="21" t="s">
        <v>96</v>
      </c>
      <c r="AX103" s="21"/>
      <c r="AY103" s="21"/>
      <c r="AZ103" s="21"/>
    </row>
    <row r="104" spans="6:52" ht="44.25" customHeight="1">
      <c r="F104" s="21"/>
      <c r="G104" s="21" t="s">
        <v>4</v>
      </c>
      <c r="H104" s="21"/>
    </row>
    <row r="105" spans="6:52" ht="44.25" customHeight="1">
      <c r="F105" s="21"/>
      <c r="G105" s="21"/>
      <c r="H105" s="21"/>
    </row>
    <row r="106" spans="6:52" ht="44.25" customHeight="1">
      <c r="F106" s="21"/>
      <c r="G106" s="21"/>
      <c r="H106" s="21"/>
    </row>
  </sheetData>
  <customSheetViews>
    <customSheetView guid="{79F412AB-527B-4B09-A03C-7CEF74370DD0}" topLeftCell="A27">
      <selection activeCell="G41" sqref="G41"/>
      <pageMargins left="0.7" right="0.7" top="0.75" bottom="0.75" header="0.3" footer="0.3"/>
      <pageSetup paperSize="9" orientation="portrait" r:id="rId1"/>
    </customSheetView>
  </customSheetViews>
  <mergeCells count="71">
    <mergeCell ref="AY80:AZ80"/>
    <mergeCell ref="AY87:AZ87"/>
    <mergeCell ref="AP4:AR4"/>
    <mergeCell ref="AX56:AZ56"/>
    <mergeCell ref="AY57:AZ57"/>
    <mergeCell ref="AY64:AZ64"/>
    <mergeCell ref="AX72:AZ72"/>
    <mergeCell ref="AY73:AZ73"/>
    <mergeCell ref="AT4:AV4"/>
    <mergeCell ref="AP22:AR22"/>
    <mergeCell ref="AI20:AJ20"/>
    <mergeCell ref="C5:D5"/>
    <mergeCell ref="G5:H5"/>
    <mergeCell ref="G15:H15"/>
    <mergeCell ref="G22:H22"/>
    <mergeCell ref="C17:D18"/>
    <mergeCell ref="B14:D14"/>
    <mergeCell ref="C20:D20"/>
    <mergeCell ref="G102:H102"/>
    <mergeCell ref="O5:P5"/>
    <mergeCell ref="AE5:AF5"/>
    <mergeCell ref="G52:H52"/>
    <mergeCell ref="G65:H65"/>
    <mergeCell ref="G72:H72"/>
    <mergeCell ref="G80:H80"/>
    <mergeCell ref="G89:H89"/>
    <mergeCell ref="G95:H95"/>
    <mergeCell ref="G45:H45"/>
    <mergeCell ref="G29:H29"/>
    <mergeCell ref="Z4:AB4"/>
    <mergeCell ref="AD4:AF4"/>
    <mergeCell ref="AL4:AN4"/>
    <mergeCell ref="AH4:AJ4"/>
    <mergeCell ref="AI12:AJ12"/>
    <mergeCell ref="F4:H4"/>
    <mergeCell ref="J4:L4"/>
    <mergeCell ref="N4:P4"/>
    <mergeCell ref="R4:T4"/>
    <mergeCell ref="V4:X4"/>
    <mergeCell ref="BB4:BD4"/>
    <mergeCell ref="BC5:BD5"/>
    <mergeCell ref="C15:D15"/>
    <mergeCell ref="C16:D16"/>
    <mergeCell ref="AX4:AZ4"/>
    <mergeCell ref="AY12:AZ12"/>
    <mergeCell ref="AX5:AZ5"/>
    <mergeCell ref="K5:L5"/>
    <mergeCell ref="AA5:AB5"/>
    <mergeCell ref="AM5:AN5"/>
    <mergeCell ref="S5:T5"/>
    <mergeCell ref="W5:X5"/>
    <mergeCell ref="AI5:AJ5"/>
    <mergeCell ref="AY6:AZ6"/>
    <mergeCell ref="AU5:AV5"/>
    <mergeCell ref="B4:D4"/>
    <mergeCell ref="AY94:AZ94"/>
    <mergeCell ref="AY17:AZ17"/>
    <mergeCell ref="AY18:AZ18"/>
    <mergeCell ref="B17:B18"/>
    <mergeCell ref="C19:D19"/>
    <mergeCell ref="AM36:AN36"/>
    <mergeCell ref="AM19:AN19"/>
    <mergeCell ref="AM28:AN28"/>
    <mergeCell ref="AX27:AZ27"/>
    <mergeCell ref="AX34:AZ34"/>
    <mergeCell ref="AY35:AZ35"/>
    <mergeCell ref="AY41:AZ41"/>
    <mergeCell ref="AY46:AZ46"/>
    <mergeCell ref="AX79:AZ79"/>
    <mergeCell ref="AX93:AZ93"/>
    <mergeCell ref="AY47:AZ47"/>
  </mergeCells>
  <pageMargins left="0.70866141732283472" right="0.70866141732283472" top="0.74803149606299213" bottom="0.74803149606299213" header="0.31496062992125984" footer="0.31496062992125984"/>
  <pageSetup paperSize="9" orientation="portrait" r:id="rId2"/>
  <drawing r:id="rId3"/>
  <extLst>
    <ext xmlns:x14="http://schemas.microsoft.com/office/spreadsheetml/2009/9/main" uri="{78C0D931-6437-407d-A8EE-F0AAD7539E65}">
      <x14:conditionalFormattings>
        <x14:conditionalFormatting xmlns:xm="http://schemas.microsoft.com/office/excel/2006/main">
          <x14:cfRule type="expression" priority="63" id="{353E001B-5BB4-4006-961E-FC7DBAC235A6}">
            <xm:f>'Datos ensayos LUM.'!$D$38</xm:f>
            <x14:dxf>
              <font>
                <strike/>
              </font>
            </x14:dxf>
          </x14:cfRule>
          <xm:sqref>B5:D12</xm:sqref>
        </x14:conditionalFormatting>
        <x14:conditionalFormatting xmlns:xm="http://schemas.microsoft.com/office/excel/2006/main">
          <x14:cfRule type="expression" priority="62" id="{FBC272DB-BEFB-4F62-8B1A-57A6B39734E6}">
            <xm:f>'Datos ensayos LUM.'!$D$55</xm:f>
            <x14:dxf>
              <font>
                <strike/>
              </font>
            </x14:dxf>
          </x14:cfRule>
          <xm:sqref>F5:H14</xm:sqref>
        </x14:conditionalFormatting>
        <x14:conditionalFormatting xmlns:xm="http://schemas.microsoft.com/office/excel/2006/main">
          <x14:cfRule type="expression" priority="61" id="{3CD3546D-A213-4296-A28B-276A12CE60ED}">
            <xm:f>'Datos ensayos LUM.'!$D$77</xm:f>
            <x14:dxf>
              <font>
                <strike/>
              </font>
            </x14:dxf>
          </x14:cfRule>
          <xm:sqref>F15:H28</xm:sqref>
        </x14:conditionalFormatting>
        <x14:conditionalFormatting xmlns:xm="http://schemas.microsoft.com/office/excel/2006/main">
          <x14:cfRule type="expression" priority="60" id="{B6979B95-D8F4-40BF-913D-4159A41282DA}">
            <xm:f>'Datos ensayos LUM.'!$D$99</xm:f>
            <x14:dxf>
              <font>
                <strike/>
              </font>
            </x14:dxf>
          </x14:cfRule>
          <xm:sqref>F29:H44</xm:sqref>
        </x14:conditionalFormatting>
        <x14:conditionalFormatting xmlns:xm="http://schemas.microsoft.com/office/excel/2006/main">
          <x14:cfRule type="expression" priority="59" id="{C11F9DF3-0B42-4305-B22B-24A55E5256CF}">
            <xm:f>'Datos ensayos LUM.'!$L$100</xm:f>
            <x14:dxf>
              <font>
                <strike/>
              </font>
            </x14:dxf>
          </x14:cfRule>
          <xm:sqref>F45:H51</xm:sqref>
        </x14:conditionalFormatting>
        <x14:conditionalFormatting xmlns:xm="http://schemas.microsoft.com/office/excel/2006/main">
          <x14:cfRule type="expression" priority="58" id="{C461940B-1F17-4A9E-B266-381ACA95359C}">
            <xm:f>'Datos ensayos LUM.'!$D$136</xm:f>
            <x14:dxf>
              <font>
                <strike/>
              </font>
            </x14:dxf>
          </x14:cfRule>
          <xm:sqref>F52:H64</xm:sqref>
        </x14:conditionalFormatting>
        <x14:conditionalFormatting xmlns:xm="http://schemas.microsoft.com/office/excel/2006/main">
          <x14:cfRule type="expression" priority="57" id="{6E3D5591-EB95-475D-918B-0DD945B59C8D}">
            <xm:f>'Datos ensayos LUM.'!$D$167</xm:f>
            <x14:dxf>
              <font>
                <strike/>
              </font>
            </x14:dxf>
          </x14:cfRule>
          <xm:sqref>F65:H71</xm:sqref>
        </x14:conditionalFormatting>
        <x14:conditionalFormatting xmlns:xm="http://schemas.microsoft.com/office/excel/2006/main">
          <x14:cfRule type="expression" priority="56" id="{79855FA4-749B-4A76-AEBB-BAEFB995D56D}">
            <xm:f>'Datos ensayos LUM.'!$L$167</xm:f>
            <x14:dxf>
              <font>
                <strike/>
              </font>
            </x14:dxf>
          </x14:cfRule>
          <xm:sqref>F72:H79</xm:sqref>
        </x14:conditionalFormatting>
        <x14:conditionalFormatting xmlns:xm="http://schemas.microsoft.com/office/excel/2006/main">
          <x14:cfRule type="expression" priority="55" id="{5DD0A037-60E1-47E0-B897-828564B3F413}">
            <xm:f>'Datos ensayos LUM.'!$D$186</xm:f>
            <x14:dxf>
              <font>
                <strike/>
              </font>
            </x14:dxf>
          </x14:cfRule>
          <xm:sqref>F80:H88</xm:sqref>
        </x14:conditionalFormatting>
        <x14:conditionalFormatting xmlns:xm="http://schemas.microsoft.com/office/excel/2006/main">
          <x14:cfRule type="expression" priority="54" id="{82072D70-FC0C-4DEA-9155-BC2058609254}">
            <xm:f>'Datos ensayos LUM.'!$D$212</xm:f>
            <x14:dxf>
              <font>
                <strike/>
              </font>
            </x14:dxf>
          </x14:cfRule>
          <xm:sqref>F89:H94</xm:sqref>
        </x14:conditionalFormatting>
        <x14:conditionalFormatting xmlns:xm="http://schemas.microsoft.com/office/excel/2006/main">
          <x14:cfRule type="expression" priority="53" id="{A35BBB0C-23B8-4B89-AB26-D5E9BF6EE7FC}">
            <xm:f>'Datos ensayos LUM.'!$D$237</xm:f>
            <x14:dxf>
              <font>
                <strike/>
              </font>
            </x14:dxf>
          </x14:cfRule>
          <xm:sqref>F95:H101</xm:sqref>
        </x14:conditionalFormatting>
        <x14:conditionalFormatting xmlns:xm="http://schemas.microsoft.com/office/excel/2006/main">
          <x14:cfRule type="expression" priority="52" id="{77AAD393-AEF6-4A5C-9B5D-771C09544459}">
            <xm:f>'Datos ensayos LUM.'!$D$260</xm:f>
            <x14:dxf>
              <font>
                <strike/>
              </font>
            </x14:dxf>
          </x14:cfRule>
          <xm:sqref>F102:H106</xm:sqref>
        </x14:conditionalFormatting>
        <x14:conditionalFormatting xmlns:xm="http://schemas.microsoft.com/office/excel/2006/main">
          <x14:cfRule type="expression" priority="51" id="{D92E676E-0281-4206-8A6B-1A5BCFF90747}">
            <xm:f>'Datos ensayos LUM.'!$BN$20</xm:f>
            <x14:dxf>
              <font>
                <strike/>
              </font>
            </x14:dxf>
          </x14:cfRule>
          <xm:sqref>J5:L18</xm:sqref>
        </x14:conditionalFormatting>
        <x14:conditionalFormatting xmlns:xm="http://schemas.microsoft.com/office/excel/2006/main">
          <x14:cfRule type="expression" priority="50" id="{D1192E2D-A120-4916-9413-F6FC705D1BD1}">
            <xm:f>'Datos ensayos LUM.'!$T$22</xm:f>
            <x14:dxf>
              <font>
                <strike/>
              </font>
            </x14:dxf>
          </x14:cfRule>
          <xm:sqref>N5:P11</xm:sqref>
        </x14:conditionalFormatting>
        <x14:conditionalFormatting xmlns:xm="http://schemas.microsoft.com/office/excel/2006/main">
          <x14:cfRule type="expression" priority="49" id="{C812200D-0C21-4179-8A3B-528F1607E5AC}">
            <xm:f>'Datos ensayos LUM.'!$AB$20</xm:f>
            <x14:dxf>
              <font>
                <strike/>
              </font>
            </x14:dxf>
          </x14:cfRule>
          <xm:sqref>R5:T14</xm:sqref>
        </x14:conditionalFormatting>
        <x14:conditionalFormatting xmlns:xm="http://schemas.microsoft.com/office/excel/2006/main">
          <x14:cfRule type="expression" priority="48" id="{DE0005E7-7811-4D4F-923F-03F7BF41FD72}">
            <xm:f>'Datos ensayos LUM.'!$AB$44</xm:f>
            <x14:dxf>
              <font>
                <strike/>
              </font>
            </x14:dxf>
          </x14:cfRule>
          <xm:sqref>V5:X18</xm:sqref>
        </x14:conditionalFormatting>
        <x14:conditionalFormatting xmlns:xm="http://schemas.microsoft.com/office/excel/2006/main">
          <x14:cfRule type="expression" priority="1" id="{665073E4-C80F-4E0A-8B0E-F0CADEA346C0}">
            <xm:f>'Datos ensayos LUM.'!$AJ$20</xm:f>
            <x14:dxf>
              <font>
                <strike/>
              </font>
            </x14:dxf>
          </x14:cfRule>
          <xm:sqref>Z5:AB18</xm:sqref>
        </x14:conditionalFormatting>
        <x14:conditionalFormatting xmlns:xm="http://schemas.microsoft.com/office/excel/2006/main">
          <x14:cfRule type="expression" priority="46" id="{E59AD8B2-02A7-4932-B20F-355E3E673B79}">
            <xm:f>'Datos ensayos LUM.'!$AR$20</xm:f>
            <x14:dxf>
              <font>
                <strike/>
              </font>
            </x14:dxf>
          </x14:cfRule>
          <xm:sqref>AD5:AF33</xm:sqref>
        </x14:conditionalFormatting>
        <x14:conditionalFormatting xmlns:xm="http://schemas.microsoft.com/office/excel/2006/main">
          <x14:cfRule type="expression" priority="45" id="{345B154E-EFEF-4C1B-AA89-B1EAABD77853}">
            <xm:f>'Datos ensayos LUM.'!$BE$39</xm:f>
            <x14:dxf>
              <font>
                <strike/>
              </font>
            </x14:dxf>
          </x14:cfRule>
          <xm:sqref>AH5:AJ11</xm:sqref>
        </x14:conditionalFormatting>
        <x14:conditionalFormatting xmlns:xm="http://schemas.microsoft.com/office/excel/2006/main">
          <x14:cfRule type="expression" priority="44" id="{1A900249-9700-4B1D-82DD-0F39976D618F}">
            <xm:f>'Datos ensayos LUM.'!$BE$47</xm:f>
            <x14:dxf>
              <font>
                <strike/>
              </font>
            </x14:dxf>
          </x14:cfRule>
          <xm:sqref>AH12:AJ19</xm:sqref>
        </x14:conditionalFormatting>
        <x14:conditionalFormatting xmlns:xm="http://schemas.microsoft.com/office/excel/2006/main">
          <x14:cfRule type="expression" priority="43" id="{ADFBA6E2-4480-45FC-80A4-7A23040D0908}">
            <xm:f>'Datos ensayos LUM.'!$BE$55</xm:f>
            <x14:dxf>
              <font>
                <strike/>
              </font>
            </x14:dxf>
          </x14:cfRule>
          <xm:sqref>AH20:AJ26</xm:sqref>
        </x14:conditionalFormatting>
        <x14:conditionalFormatting xmlns:xm="http://schemas.microsoft.com/office/excel/2006/main">
          <x14:cfRule type="expression" priority="42" id="{296181F9-0DA9-4A03-B149-64A627ADC7C6}">
            <xm:f>'Datos ensayos LUM.'!$BW$23</xm:f>
            <x14:dxf>
              <font>
                <strike/>
              </font>
            </x14:dxf>
          </x14:cfRule>
          <xm:sqref>AL5:AN18</xm:sqref>
        </x14:conditionalFormatting>
        <x14:conditionalFormatting xmlns:xm="http://schemas.microsoft.com/office/excel/2006/main">
          <x14:cfRule type="expression" priority="41" id="{9A6DE2C7-FA70-4785-92DD-E05334A0BAE7}">
            <xm:f>'Datos ensayos LUM.'!$BW$31</xm:f>
            <x14:dxf>
              <font>
                <strike/>
              </font>
            </x14:dxf>
          </x14:cfRule>
          <xm:sqref>AL19:AN27</xm:sqref>
        </x14:conditionalFormatting>
        <x14:conditionalFormatting xmlns:xm="http://schemas.microsoft.com/office/excel/2006/main">
          <x14:cfRule type="expression" priority="40" id="{256889C4-2ECA-4142-9792-BBE34EA35E80}">
            <xm:f>'Datos ensayos LUM.'!$BW$47</xm:f>
            <x14:dxf>
              <font>
                <strike/>
              </font>
            </x14:dxf>
          </x14:cfRule>
          <xm:sqref>AL28:AN35</xm:sqref>
        </x14:conditionalFormatting>
        <x14:conditionalFormatting xmlns:xm="http://schemas.microsoft.com/office/excel/2006/main">
          <x14:cfRule type="expression" priority="37" id="{AEA21FEA-5C0A-4DC7-98BD-C0AD6D2163A4}">
            <xm:f>'Datos ensayos LUM.'!$BW$63</xm:f>
            <x14:dxf>
              <font>
                <strike/>
              </font>
            </x14:dxf>
          </x14:cfRule>
          <xm:sqref>AM36:AN47</xm:sqref>
        </x14:conditionalFormatting>
        <x14:conditionalFormatting xmlns:xm="http://schemas.microsoft.com/office/excel/2006/main">
          <x14:cfRule type="expression" priority="4" id="{12028A13-0AFE-4ED5-B789-C5B6D02262D8}">
            <xm:f>AND('Datos ensayos LUM.'!$BN$67,'Datos ensayos LUM.'!$BN$73)</xm:f>
            <x14:dxf>
              <font>
                <strike/>
              </font>
            </x14:dxf>
          </x14:cfRule>
          <xm:sqref>AP23:AR37</xm:sqref>
        </x14:conditionalFormatting>
        <x14:conditionalFormatting xmlns:xm="http://schemas.microsoft.com/office/excel/2006/main">
          <x14:cfRule type="expression" priority="39" id="{D665D2BB-0763-4E47-B420-5CA45E86C7AC}">
            <xm:f>'Datos ensayos LUM.'!$L$20</xm:f>
            <x14:dxf>
              <font>
                <strike/>
              </font>
            </x14:dxf>
          </x14:cfRule>
          <xm:sqref>AT5:AV16</xm:sqref>
        </x14:conditionalFormatting>
        <x14:conditionalFormatting xmlns:xm="http://schemas.microsoft.com/office/excel/2006/main">
          <x14:cfRule type="expression" priority="26" id="{B3FEBA97-3588-4A62-BB70-2B40D643C82E}">
            <xm:f>NOT('Datos ensayos LUM.'!$F$6)</xm:f>
            <x14:dxf>
              <font>
                <strike/>
                <color theme="1"/>
              </font>
            </x14:dxf>
          </x14:cfRule>
          <xm:sqref>AX5:AZ5</xm:sqref>
        </x14:conditionalFormatting>
        <x14:conditionalFormatting xmlns:xm="http://schemas.microsoft.com/office/excel/2006/main">
          <x14:cfRule type="expression" priority="30" id="{189BA1AA-FCFD-40F7-B98D-B3CF82BA9BE6}">
            <xm:f>'Datos ensayos LUM.'!$CF$23</xm:f>
            <x14:dxf>
              <font>
                <strike/>
                <color theme="1"/>
              </font>
            </x14:dxf>
          </x14:cfRule>
          <xm:sqref>AX6:AZ11</xm:sqref>
        </x14:conditionalFormatting>
        <x14:conditionalFormatting xmlns:xm="http://schemas.microsoft.com/office/excel/2006/main">
          <x14:cfRule type="expression" priority="27" id="{BCDE4212-4E70-40F9-8F1A-475A8AF3E03F}">
            <xm:f>'Datos ensayos LUM.'!$CF$37</xm:f>
            <x14:dxf>
              <font>
                <strike/>
                <color theme="1"/>
              </font>
            </x14:dxf>
          </x14:cfRule>
          <xm:sqref>AX12:AZ16</xm:sqref>
        </x14:conditionalFormatting>
        <x14:conditionalFormatting xmlns:xm="http://schemas.microsoft.com/office/excel/2006/main">
          <x14:cfRule type="expression" priority="28" id="{DF41AEF9-0607-4C97-BE60-E0813749059A}">
            <xm:f>AND('Datos ensayos LUM.'!$CF$53,'Datos ensayos LUM.'!$CF$45)</xm:f>
            <x14:dxf>
              <font>
                <strike/>
                <color theme="1"/>
              </font>
            </x14:dxf>
          </x14:cfRule>
          <xm:sqref>AX17:AZ26</xm:sqref>
        </x14:conditionalFormatting>
        <x14:conditionalFormatting xmlns:xm="http://schemas.microsoft.com/office/excel/2006/main">
          <x14:cfRule type="expression" priority="32" id="{764230BB-CC0D-4AB6-813F-981C30C82062}">
            <xm:f>#REF!</xm:f>
            <x14:dxf>
              <font>
                <strike/>
                <color theme="1"/>
              </font>
            </x14:dxf>
          </x14:cfRule>
          <xm:sqref>AX18:AZ20 AX21 AZ21 AX22:AZ26</xm:sqref>
        </x14:conditionalFormatting>
        <x14:conditionalFormatting xmlns:xm="http://schemas.microsoft.com/office/excel/2006/main">
          <x14:cfRule type="expression" priority="25" id="{27AED076-DF79-4D11-9BD6-16F22D99124A}">
            <xm:f>NOT('Datos ensayos LUM.'!$G$6)</xm:f>
            <x14:dxf>
              <font>
                <strike/>
                <color theme="1"/>
              </font>
            </x14:dxf>
          </x14:cfRule>
          <xm:sqref>AX27:AZ33</xm:sqref>
        </x14:conditionalFormatting>
        <x14:conditionalFormatting xmlns:xm="http://schemas.microsoft.com/office/excel/2006/main">
          <x14:cfRule type="expression" priority="19" id="{51C2CC94-E08E-4BA2-A8F4-284FE8CAD0DF}">
            <xm:f>NOT('Datos ensayos LUM.'!$H$6)</xm:f>
            <x14:dxf>
              <font>
                <strike/>
              </font>
            </x14:dxf>
          </x14:cfRule>
          <xm:sqref>AX34:AZ34</xm:sqref>
        </x14:conditionalFormatting>
        <x14:conditionalFormatting xmlns:xm="http://schemas.microsoft.com/office/excel/2006/main">
          <x14:cfRule type="expression" priority="18" id="{A46362E1-660E-45BE-B2DA-BB0737E3CE94}">
            <xm:f>'Datos ensayos LUM.'!$CM$38</xm:f>
            <x14:dxf>
              <font>
                <strike/>
                <color theme="1"/>
              </font>
            </x14:dxf>
          </x14:cfRule>
          <xm:sqref>AX35:AZ40</xm:sqref>
        </x14:conditionalFormatting>
        <x14:conditionalFormatting xmlns:xm="http://schemas.microsoft.com/office/excel/2006/main">
          <x14:cfRule type="expression" priority="17" id="{B1C47600-1514-46F4-9D94-21010AA0F7CF}">
            <xm:f>'Datos ensayos LUM.'!$CM$47</xm:f>
            <x14:dxf>
              <font>
                <strike/>
                <color theme="1"/>
              </font>
            </x14:dxf>
          </x14:cfRule>
          <xm:sqref>AX41:AZ45</xm:sqref>
        </x14:conditionalFormatting>
        <x14:conditionalFormatting xmlns:xm="http://schemas.microsoft.com/office/excel/2006/main">
          <x14:cfRule type="expression" priority="16" id="{B5D96BA8-FF79-4555-8962-46D05E52DE41}">
            <xm:f>'Datos ensayos LUM.'!$CM$55</xm:f>
            <x14:dxf>
              <font>
                <strike/>
                <color theme="1"/>
              </font>
            </x14:dxf>
          </x14:cfRule>
          <xm:sqref>AX46:AZ55</xm:sqref>
        </x14:conditionalFormatting>
        <x14:conditionalFormatting xmlns:xm="http://schemas.microsoft.com/office/excel/2006/main">
          <x14:cfRule type="expression" priority="15" id="{2A587063-3260-48E3-B995-77CB7A086E26}">
            <xm:f>NOT('Datos ensayos LUM.'!$J$6)</xm:f>
            <x14:dxf>
              <font>
                <strike/>
                <color theme="1"/>
              </font>
            </x14:dxf>
          </x14:cfRule>
          <xm:sqref>AX56:AZ56</xm:sqref>
        </x14:conditionalFormatting>
        <x14:conditionalFormatting xmlns:xm="http://schemas.microsoft.com/office/excel/2006/main">
          <x14:cfRule type="expression" priority="14" id="{0BAC3E42-F528-4BCD-84DF-911973CA29FE}">
            <xm:f>'Datos ensayos LUM.'!$CM$71</xm:f>
            <x14:dxf>
              <font>
                <strike/>
              </font>
            </x14:dxf>
          </x14:cfRule>
          <xm:sqref>AX57:AZ63</xm:sqref>
        </x14:conditionalFormatting>
        <x14:conditionalFormatting xmlns:xm="http://schemas.microsoft.com/office/excel/2006/main">
          <x14:cfRule type="expression" priority="13" id="{F9F4CE28-FC43-4205-B09C-824258E35FF5}">
            <xm:f>'Datos ensayos LUM.'!$CM$79</xm:f>
            <x14:dxf>
              <font>
                <strike/>
                <color theme="1"/>
              </font>
            </x14:dxf>
          </x14:cfRule>
          <xm:sqref>AX64:AZ71</xm:sqref>
        </x14:conditionalFormatting>
        <x14:conditionalFormatting xmlns:xm="http://schemas.microsoft.com/office/excel/2006/main">
          <x14:cfRule type="expression" priority="12" id="{F8A9236D-2C86-4566-8F93-EC1A10F119CF}">
            <xm:f>NOT('Datos ensayos LUM.'!$K$6)</xm:f>
            <x14:dxf>
              <font>
                <strike/>
                <color theme="1"/>
              </font>
            </x14:dxf>
          </x14:cfRule>
          <xm:sqref>AX72:AZ72</xm:sqref>
        </x14:conditionalFormatting>
        <x14:conditionalFormatting xmlns:xm="http://schemas.microsoft.com/office/excel/2006/main">
          <x14:cfRule type="expression" priority="11" id="{99AB5B91-CD92-400A-99D0-279A18C87308}">
            <xm:f>'Datos ensayos LUM.'!$CM$92</xm:f>
            <x14:dxf>
              <font>
                <strike/>
                <color theme="1"/>
              </font>
            </x14:dxf>
          </x14:cfRule>
          <xm:sqref>AX73:AZ78</xm:sqref>
        </x14:conditionalFormatting>
        <x14:conditionalFormatting xmlns:xm="http://schemas.microsoft.com/office/excel/2006/main">
          <x14:cfRule type="expression" priority="10" id="{338EABF5-40EA-4FD4-B4E7-EA6607A96880}">
            <xm:f>NOT('Datos ensayos LUM.'!$L$6)</xm:f>
            <x14:dxf>
              <font>
                <strike/>
                <color theme="1"/>
              </font>
            </x14:dxf>
          </x14:cfRule>
          <xm:sqref>AX79:AZ79</xm:sqref>
        </x14:conditionalFormatting>
        <x14:conditionalFormatting xmlns:xm="http://schemas.microsoft.com/office/excel/2006/main">
          <x14:cfRule type="expression" priority="9" id="{4BB97EFE-2C18-4821-8CA2-A1EAA30C8381}">
            <xm:f>'Datos ensayos LUM.'!$CF$92</xm:f>
            <x14:dxf>
              <font>
                <strike/>
                <color theme="1"/>
              </font>
            </x14:dxf>
          </x14:cfRule>
          <xm:sqref>AX80:AZ86</xm:sqref>
        </x14:conditionalFormatting>
        <x14:conditionalFormatting xmlns:xm="http://schemas.microsoft.com/office/excel/2006/main">
          <x14:cfRule type="expression" priority="8" id="{9BF25589-A114-454B-BC34-BA4C11FCB035}">
            <xm:f>'Datos ensayos LUM.'!$CF$101</xm:f>
            <x14:dxf>
              <font>
                <strike/>
                <color theme="1"/>
              </font>
            </x14:dxf>
          </x14:cfRule>
          <xm:sqref>AX87:AZ92</xm:sqref>
        </x14:conditionalFormatting>
        <x14:conditionalFormatting xmlns:xm="http://schemas.microsoft.com/office/excel/2006/main">
          <x14:cfRule type="expression" priority="7" id="{BD884495-9222-4B40-B9CA-3EEADA6928B7}">
            <xm:f>NOT('Datos ensayos LUM.'!$M$6)</xm:f>
            <x14:dxf>
              <font>
                <strike/>
                <color theme="1"/>
              </font>
            </x14:dxf>
          </x14:cfRule>
          <xm:sqref>AX93:AZ93</xm:sqref>
        </x14:conditionalFormatting>
        <x14:conditionalFormatting xmlns:xm="http://schemas.microsoft.com/office/excel/2006/main">
          <x14:cfRule type="expression" priority="6" id="{8B7C1F1B-6EBF-48F7-92BE-F45AD81B9ADB}">
            <xm:f>NOT('Datos ensayos LUM.'!$M$6)</xm:f>
            <x14:dxf>
              <font>
                <strike/>
              </font>
            </x14:dxf>
          </x14:cfRule>
          <xm:sqref>AX93:AZ103</xm:sqref>
        </x14:conditionalFormatting>
        <x14:conditionalFormatting xmlns:xm="http://schemas.microsoft.com/office/excel/2006/main">
          <x14:cfRule type="expression" priority="31" id="{504E9868-1E16-4466-B560-2B6E44F6FEDC}">
            <xm:f>'Datos ensayos LUM.'!$L$20</xm:f>
            <x14:dxf>
              <font>
                <strike/>
              </font>
            </x14:dxf>
          </x14:cfRule>
          <xm:sqref>AY21</xm:sqref>
        </x14:conditionalFormatting>
        <x14:conditionalFormatting xmlns:xm="http://schemas.microsoft.com/office/excel/2006/main">
          <x14:cfRule type="expression" priority="36" id="{D1D6A1BA-5EE9-4182-A38E-39B3B706348B}">
            <xm:f>#REF!</xm:f>
            <x14:dxf>
              <font>
                <strike/>
                <color theme="1"/>
              </font>
            </x14:dxf>
          </x14:cfRule>
          <xm:sqref>BB5:BD7 BB8 BD8 BB9:BD13</xm:sqref>
        </x14:conditionalFormatting>
        <x14:conditionalFormatting xmlns:xm="http://schemas.microsoft.com/office/excel/2006/main">
          <x14:cfRule type="expression" priority="35" id="{9F414E18-4BF9-49DF-A87B-32BAAD49689C}">
            <xm:f>'Datos ensayos LUM.'!$L$20</xm:f>
            <x14:dxf>
              <font>
                <strike/>
              </font>
            </x14:dxf>
          </x14:cfRule>
          <xm:sqref>BC8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9074-5467-4BC3-821B-82A8A416B505}">
  <sheetPr codeName="Sheet3">
    <tabColor theme="4" tint="0.59999389629810485"/>
  </sheetPr>
  <dimension ref="B2:CQ276"/>
  <sheetViews>
    <sheetView topLeftCell="A41" workbookViewId="0">
      <selection activeCell="AJ26" sqref="AJ26"/>
    </sheetView>
  </sheetViews>
  <sheetFormatPr defaultColWidth="11.5546875" defaultRowHeight="14.4"/>
  <cols>
    <col min="3" max="3" width="13.44140625" customWidth="1"/>
    <col min="4" max="4" width="11.44140625" customWidth="1"/>
    <col min="10" max="12" width="11.5546875" bestFit="1" customWidth="1"/>
    <col min="20" max="20" width="11.5546875" bestFit="1" customWidth="1"/>
    <col min="27" max="28" width="11.5546875" bestFit="1" customWidth="1"/>
    <col min="35" max="35" width="11.5546875" bestFit="1" customWidth="1"/>
    <col min="43" max="44" width="11.5546875" bestFit="1" customWidth="1"/>
    <col min="48" max="48" width="11.5546875" bestFit="1" customWidth="1"/>
    <col min="57" max="57" width="11.5546875" bestFit="1" customWidth="1"/>
    <col min="60" max="60" width="11.5546875" bestFit="1" customWidth="1"/>
    <col min="84" max="84" width="11.5546875" bestFit="1" customWidth="1"/>
    <col min="91" max="91" width="11.5546875" bestFit="1" customWidth="1"/>
    <col min="93" max="93" width="11.5546875" bestFit="1" customWidth="1"/>
  </cols>
  <sheetData>
    <row r="2" spans="2:71" ht="15" thickBot="1">
      <c r="BE2" s="2" t="s">
        <v>753</v>
      </c>
    </row>
    <row r="3" spans="2:71" ht="15.6">
      <c r="B3" s="25" t="s">
        <v>224</v>
      </c>
      <c r="X3" s="369"/>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3"/>
      <c r="BF3" t="s">
        <v>757</v>
      </c>
      <c r="BG3" t="s">
        <v>758</v>
      </c>
      <c r="BH3" t="s">
        <v>759</v>
      </c>
      <c r="BI3" t="s">
        <v>760</v>
      </c>
      <c r="BJ3" t="s">
        <v>761</v>
      </c>
      <c r="BO3" t="s">
        <v>757</v>
      </c>
      <c r="BP3" t="s">
        <v>758</v>
      </c>
      <c r="BQ3" t="s">
        <v>759</v>
      </c>
      <c r="BR3" t="s">
        <v>760</v>
      </c>
      <c r="BS3" t="s">
        <v>761</v>
      </c>
    </row>
    <row r="4" spans="2:71">
      <c r="Q4" t="s">
        <v>858</v>
      </c>
      <c r="R4" t="s">
        <v>859</v>
      </c>
      <c r="X4" s="401" t="s">
        <v>623</v>
      </c>
      <c r="Y4" s="168"/>
      <c r="Z4" s="168"/>
      <c r="AA4" s="168"/>
      <c r="AX4" s="302" t="s">
        <v>620</v>
      </c>
      <c r="AY4" s="302" t="s">
        <v>621</v>
      </c>
      <c r="AZ4" s="5"/>
      <c r="BE4" t="s">
        <v>754</v>
      </c>
      <c r="BF4" s="14" t="s">
        <v>1128</v>
      </c>
      <c r="BG4" s="14" t="s">
        <v>1129</v>
      </c>
      <c r="BH4" s="166" t="b">
        <v>1</v>
      </c>
      <c r="BI4" t="str">
        <f>IF(BH4=TRUE,BF4," ")</f>
        <v xml:space="preserve">IEC 60598-1:2024; </v>
      </c>
      <c r="BJ4" t="str">
        <f>IF(BH4=TRUE,BG4," ")</f>
        <v xml:space="preserve">EN IEC 60598-1:2024 + A11:2024; </v>
      </c>
      <c r="BN4" s="16">
        <v>62031</v>
      </c>
      <c r="BO4" t="s">
        <v>764</v>
      </c>
      <c r="BP4" t="s">
        <v>855</v>
      </c>
      <c r="BQ4" s="166" t="e">
        <f>OR(Q6,S6,T6)</f>
        <v>#REF!</v>
      </c>
      <c r="BR4" t="e">
        <f>IF(BQ4=TRUE,BO4," ")</f>
        <v>#REF!</v>
      </c>
      <c r="BS4" t="e">
        <f>IF(BQ4=TRUE,BP4," ")</f>
        <v>#REF!</v>
      </c>
    </row>
    <row r="5" spans="2:71">
      <c r="B5" s="817" t="s">
        <v>225</v>
      </c>
      <c r="C5" s="818"/>
      <c r="D5" s="114" t="s">
        <v>251</v>
      </c>
      <c r="E5" s="114" t="s">
        <v>252</v>
      </c>
      <c r="F5" s="114" t="s">
        <v>253</v>
      </c>
      <c r="G5" s="114" t="s">
        <v>254</v>
      </c>
      <c r="H5" s="114" t="s">
        <v>255</v>
      </c>
      <c r="I5" s="114" t="s">
        <v>256</v>
      </c>
      <c r="J5" s="114" t="s">
        <v>257</v>
      </c>
      <c r="K5" s="114" t="s">
        <v>258</v>
      </c>
      <c r="L5" s="114" t="s">
        <v>259</v>
      </c>
      <c r="M5" s="114" t="s">
        <v>260</v>
      </c>
      <c r="N5" s="342" t="s">
        <v>756</v>
      </c>
      <c r="O5" s="343" t="s">
        <v>565</v>
      </c>
      <c r="Q5" s="21" t="s">
        <v>854</v>
      </c>
      <c r="R5" s="21" t="s">
        <v>854</v>
      </c>
      <c r="S5" s="21" t="s">
        <v>752</v>
      </c>
      <c r="T5" s="21" t="s">
        <v>751</v>
      </c>
      <c r="U5" s="21" t="s">
        <v>750</v>
      </c>
      <c r="X5" s="148"/>
      <c r="Z5" s="303" t="s">
        <v>600</v>
      </c>
      <c r="AA5" s="303" t="s">
        <v>597</v>
      </c>
      <c r="AB5" s="303" t="s">
        <v>599</v>
      </c>
      <c r="AC5" s="303" t="s">
        <v>598</v>
      </c>
      <c r="AD5" s="304" t="s">
        <v>601</v>
      </c>
      <c r="AH5" s="303" t="s">
        <v>600</v>
      </c>
      <c r="AI5" s="303" t="s">
        <v>597</v>
      </c>
      <c r="AJ5" s="303" t="s">
        <v>599</v>
      </c>
      <c r="AK5" s="303" t="s">
        <v>598</v>
      </c>
      <c r="AL5" s="304" t="s">
        <v>601</v>
      </c>
      <c r="AP5" s="303" t="s">
        <v>600</v>
      </c>
      <c r="AQ5" s="303" t="s">
        <v>597</v>
      </c>
      <c r="AR5" s="303" t="s">
        <v>599</v>
      </c>
      <c r="AS5" s="303" t="s">
        <v>598</v>
      </c>
      <c r="AT5" s="304" t="s">
        <v>601</v>
      </c>
      <c r="AV5" s="305" t="s">
        <v>617</v>
      </c>
      <c r="AX5" s="21" t="e">
        <f>SUM(AB6:AB14,AJ6:AJ14,AR6:AR15)</f>
        <v>#REF!</v>
      </c>
      <c r="AY5" s="311" t="e">
        <f>AX5/AX5</f>
        <v>#REF!</v>
      </c>
      <c r="AZ5" s="5"/>
      <c r="BE5" t="s">
        <v>654</v>
      </c>
      <c r="BF5" s="14" t="s">
        <v>767</v>
      </c>
      <c r="BG5" s="14" t="s">
        <v>768</v>
      </c>
      <c r="BH5" s="166" t="b">
        <f>D6</f>
        <v>0</v>
      </c>
      <c r="BI5" t="str">
        <f t="shared" ref="BI5:BI14" si="0">IF(BH5=TRUE,BF5," ")</f>
        <v xml:space="preserve"> </v>
      </c>
      <c r="BJ5" t="str">
        <f t="shared" ref="BJ5:BJ14" si="1">IF(BH5=TRUE,BG5," ")</f>
        <v xml:space="preserve"> </v>
      </c>
      <c r="BN5" t="s">
        <v>625</v>
      </c>
      <c r="BO5" t="s">
        <v>857</v>
      </c>
      <c r="BP5" t="s">
        <v>856</v>
      </c>
      <c r="BQ5" s="166" t="b">
        <f>U6</f>
        <v>0</v>
      </c>
      <c r="BR5" t="str">
        <f>IF(BQ5=TRUE,BO5," ")</f>
        <v xml:space="preserve"> </v>
      </c>
      <c r="BS5" t="str">
        <f>IF(BQ5=TRUE,BP5," ")</f>
        <v xml:space="preserve"> </v>
      </c>
    </row>
    <row r="6" spans="2:71">
      <c r="B6" s="817"/>
      <c r="C6" s="818"/>
      <c r="D6" s="398" t="b">
        <v>0</v>
      </c>
      <c r="E6" s="115" t="b">
        <v>0</v>
      </c>
      <c r="F6" s="115" t="b">
        <v>0</v>
      </c>
      <c r="G6" s="115" t="b">
        <v>0</v>
      </c>
      <c r="H6" s="115" t="b">
        <v>0</v>
      </c>
      <c r="I6" s="115"/>
      <c r="J6" s="115" t="b">
        <v>0</v>
      </c>
      <c r="K6" s="115" t="b">
        <v>0</v>
      </c>
      <c r="L6" s="115" t="b">
        <v>0</v>
      </c>
      <c r="M6" s="115" t="b">
        <v>0</v>
      </c>
      <c r="N6" s="113" t="b">
        <v>0</v>
      </c>
      <c r="O6" s="344" t="e">
        <f>OR(D6,E6,F6,G6,H6,J6,K6,L6,M6,S6)</f>
        <v>#REF!</v>
      </c>
      <c r="Q6" s="113" t="e">
        <f>#REF!</f>
        <v>#REF!</v>
      </c>
      <c r="R6" s="113" t="e">
        <f>#REF!</f>
        <v>#REF!</v>
      </c>
      <c r="S6" s="113" t="e">
        <f>#REF!</f>
        <v>#REF!</v>
      </c>
      <c r="T6" s="113" t="e">
        <f>#REF!</f>
        <v>#REF!</v>
      </c>
      <c r="U6" s="113" t="b">
        <v>0</v>
      </c>
      <c r="X6" s="148" t="s">
        <v>38</v>
      </c>
      <c r="Z6" s="282">
        <v>3</v>
      </c>
      <c r="AA6" s="112" t="b">
        <f>NOT(D38)</f>
        <v>1</v>
      </c>
      <c r="AB6" s="21">
        <f>Z6*AA6</f>
        <v>3</v>
      </c>
      <c r="AC6" s="112" t="b">
        <f>NOT(D42)</f>
        <v>0</v>
      </c>
      <c r="AD6" s="138">
        <f>AB6*AC6</f>
        <v>0</v>
      </c>
      <c r="AF6" t="s">
        <v>525</v>
      </c>
      <c r="AH6" s="282">
        <v>5</v>
      </c>
      <c r="AI6" s="112" t="b">
        <f>NOT(BE20)</f>
        <v>1</v>
      </c>
      <c r="AJ6" s="21">
        <f>AH6*AI6</f>
        <v>5</v>
      </c>
      <c r="AK6" s="112" t="b">
        <f>NOT(BN28)</f>
        <v>0</v>
      </c>
      <c r="AL6" s="138">
        <f>AJ6*AK6</f>
        <v>0</v>
      </c>
      <c r="AN6" s="86" t="s">
        <v>608</v>
      </c>
      <c r="AO6" s="86"/>
      <c r="AP6" s="306"/>
      <c r="AQ6" s="307"/>
      <c r="AR6" s="306"/>
      <c r="AS6" s="307"/>
      <c r="AT6" s="308"/>
      <c r="AV6" s="2" t="s">
        <v>618</v>
      </c>
      <c r="AX6" s="21" t="e">
        <f>SUM(AD6:AD14,AL6:AL14,AT6:AT15)</f>
        <v>#REF!</v>
      </c>
      <c r="AY6" s="311" t="e">
        <f>AX6/AX5</f>
        <v>#REF!</v>
      </c>
      <c r="AZ6" s="5"/>
      <c r="BE6" t="s">
        <v>655</v>
      </c>
      <c r="BF6" s="14" t="s">
        <v>867</v>
      </c>
      <c r="BG6" s="14" t="s">
        <v>868</v>
      </c>
      <c r="BH6" s="166" t="b">
        <f>E6</f>
        <v>0</v>
      </c>
      <c r="BI6" t="str">
        <f t="shared" si="0"/>
        <v xml:space="preserve"> </v>
      </c>
      <c r="BJ6" t="str">
        <f t="shared" si="1"/>
        <v xml:space="preserve"> </v>
      </c>
    </row>
    <row r="7" spans="2:71">
      <c r="B7" s="42" t="s">
        <v>227</v>
      </c>
      <c r="C7" s="42"/>
      <c r="D7" s="42">
        <f>'RESUMEN PROYECTO LUM'!D8</f>
        <v>1</v>
      </c>
      <c r="E7" s="34"/>
      <c r="F7" s="42" t="s">
        <v>849</v>
      </c>
      <c r="G7" s="400" t="b">
        <v>0</v>
      </c>
      <c r="H7" s="42" t="s">
        <v>851</v>
      </c>
      <c r="I7" s="400" t="b">
        <v>0</v>
      </c>
      <c r="J7" s="34"/>
      <c r="K7" s="34"/>
      <c r="L7" s="34"/>
      <c r="M7" s="34"/>
      <c r="N7" s="34"/>
      <c r="O7" s="34"/>
      <c r="X7" s="155" t="s">
        <v>591</v>
      </c>
      <c r="Y7" s="86"/>
      <c r="Z7" s="306"/>
      <c r="AA7" s="307"/>
      <c r="AB7" s="21">
        <f t="shared" ref="AB7:AB14" si="2">Z7*AA7</f>
        <v>0</v>
      </c>
      <c r="AC7" s="307"/>
      <c r="AD7" s="138">
        <f t="shared" ref="AD7:AD14" si="3">AB7*AC7</f>
        <v>0</v>
      </c>
      <c r="AF7" t="s">
        <v>371</v>
      </c>
      <c r="AH7" s="282">
        <v>3</v>
      </c>
      <c r="AI7" s="112" t="b">
        <f>NOT(T22)</f>
        <v>1</v>
      </c>
      <c r="AJ7" s="21">
        <f t="shared" ref="AJ7:AJ14" si="4">AH7*AI7</f>
        <v>3</v>
      </c>
      <c r="AK7" s="112" t="b">
        <f>NOT(T34)</f>
        <v>0</v>
      </c>
      <c r="AL7" s="138">
        <f t="shared" ref="AL7:AL14" si="5">AJ7*AK7</f>
        <v>0</v>
      </c>
      <c r="AN7" s="152" t="s">
        <v>609</v>
      </c>
      <c r="AO7" s="152"/>
      <c r="AP7" s="312">
        <v>5</v>
      </c>
      <c r="AQ7" s="309" t="b">
        <f>AV70</f>
        <v>0</v>
      </c>
      <c r="AR7" s="21">
        <f t="shared" ref="AR7:AR15" si="6">AP7*AQ7</f>
        <v>0</v>
      </c>
      <c r="AS7" s="309" t="b">
        <f>NOT(AR72)</f>
        <v>0</v>
      </c>
      <c r="AT7" s="138">
        <f t="shared" ref="AT7:AT15" si="7">AR7*AS7</f>
        <v>0</v>
      </c>
      <c r="AV7" s="2" t="s">
        <v>619</v>
      </c>
      <c r="AX7" s="21" t="e">
        <f>AX5-AX6</f>
        <v>#REF!</v>
      </c>
      <c r="AY7" s="311" t="e">
        <f>AX7/AX5</f>
        <v>#REF!</v>
      </c>
      <c r="AZ7" s="5"/>
      <c r="BE7" t="s">
        <v>85</v>
      </c>
      <c r="BF7" s="14" t="s">
        <v>765</v>
      </c>
      <c r="BG7" s="14" t="s">
        <v>766</v>
      </c>
      <c r="BH7" s="166" t="b">
        <f>F6</f>
        <v>0</v>
      </c>
      <c r="BI7" t="str">
        <f t="shared" si="0"/>
        <v xml:space="preserve"> </v>
      </c>
      <c r="BJ7" t="str">
        <f t="shared" si="1"/>
        <v xml:space="preserve"> </v>
      </c>
    </row>
    <row r="8" spans="2:71" ht="15" thickBot="1">
      <c r="B8" t="s">
        <v>226</v>
      </c>
      <c r="D8" s="399">
        <v>1</v>
      </c>
      <c r="X8" s="148" t="s">
        <v>592</v>
      </c>
      <c r="Z8" s="282">
        <v>3</v>
      </c>
      <c r="AA8" s="112" t="b">
        <f>NOT(D77)</f>
        <v>1</v>
      </c>
      <c r="AB8" s="21">
        <f t="shared" si="2"/>
        <v>3</v>
      </c>
      <c r="AC8" s="112" t="b">
        <f>NOT(L85)</f>
        <v>0</v>
      </c>
      <c r="AD8" s="138">
        <f t="shared" si="3"/>
        <v>0</v>
      </c>
      <c r="AF8" t="s">
        <v>602</v>
      </c>
      <c r="AH8" s="282">
        <v>3</v>
      </c>
      <c r="AI8" s="112" t="b">
        <f>NOT(AB44)</f>
        <v>1</v>
      </c>
      <c r="AJ8" s="21">
        <f t="shared" si="4"/>
        <v>3</v>
      </c>
      <c r="AK8" s="112" t="b">
        <f>NOT(AB56)</f>
        <v>0</v>
      </c>
      <c r="AL8" s="138">
        <f t="shared" si="5"/>
        <v>0</v>
      </c>
      <c r="AN8" s="152" t="s">
        <v>610</v>
      </c>
      <c r="AO8" s="152"/>
      <c r="AP8" s="312">
        <v>5</v>
      </c>
      <c r="AQ8" s="309" t="b">
        <f>NOT(AR67)</f>
        <v>1</v>
      </c>
      <c r="AR8" s="21">
        <f t="shared" si="6"/>
        <v>5</v>
      </c>
      <c r="AS8" s="309" t="b">
        <f>NOT(AR62)</f>
        <v>0</v>
      </c>
      <c r="AT8" s="138">
        <f t="shared" si="7"/>
        <v>0</v>
      </c>
      <c r="AZ8" s="5"/>
      <c r="BE8" t="s">
        <v>694</v>
      </c>
      <c r="BF8" s="14" t="s">
        <v>773</v>
      </c>
      <c r="BG8" s="14" t="s">
        <v>777</v>
      </c>
      <c r="BH8" s="166" t="b">
        <f>G6</f>
        <v>0</v>
      </c>
      <c r="BI8" t="str">
        <f t="shared" si="0"/>
        <v xml:space="preserve"> </v>
      </c>
      <c r="BJ8" t="str">
        <f t="shared" si="1"/>
        <v xml:space="preserve"> </v>
      </c>
    </row>
    <row r="9" spans="2:71" ht="15" thickBot="1">
      <c r="B9" s="246" t="s">
        <v>455</v>
      </c>
      <c r="C9" s="241" t="b">
        <v>0</v>
      </c>
      <c r="D9" s="247" t="s">
        <v>231</v>
      </c>
      <c r="E9" s="242" t="b">
        <v>0</v>
      </c>
      <c r="F9" s="248" t="s">
        <v>457</v>
      </c>
      <c r="G9" s="241" t="b">
        <v>0</v>
      </c>
      <c r="H9" s="247" t="s">
        <v>459</v>
      </c>
      <c r="I9" s="242" t="b">
        <v>0</v>
      </c>
      <c r="J9" s="248" t="s">
        <v>461</v>
      </c>
      <c r="K9" s="243" t="b">
        <v>0</v>
      </c>
      <c r="O9" s="21" t="s">
        <v>566</v>
      </c>
      <c r="X9" s="148" t="s">
        <v>596</v>
      </c>
      <c r="Z9" s="282">
        <v>3</v>
      </c>
      <c r="AA9" s="112" t="b">
        <f>NOT(D136)</f>
        <v>1</v>
      </c>
      <c r="AB9" s="21">
        <f t="shared" si="2"/>
        <v>3</v>
      </c>
      <c r="AC9" s="112" t="b">
        <f>NOT(L154)</f>
        <v>0</v>
      </c>
      <c r="AD9" s="138">
        <f t="shared" si="3"/>
        <v>0</v>
      </c>
      <c r="AF9" s="86" t="s">
        <v>603</v>
      </c>
      <c r="AG9" s="86"/>
      <c r="AH9" s="306"/>
      <c r="AI9" s="307"/>
      <c r="AJ9" s="306"/>
      <c r="AK9" s="307"/>
      <c r="AL9" s="308"/>
      <c r="AN9" t="s">
        <v>611</v>
      </c>
      <c r="AP9" s="282">
        <v>5</v>
      </c>
      <c r="AQ9" s="112" t="b">
        <f>NOT(BE47)</f>
        <v>1</v>
      </c>
      <c r="AR9" s="21">
        <f t="shared" si="6"/>
        <v>5</v>
      </c>
      <c r="AS9" s="112" t="b">
        <f>NOT(BE50)</f>
        <v>0</v>
      </c>
      <c r="AT9" s="138">
        <f t="shared" si="7"/>
        <v>0</v>
      </c>
      <c r="AZ9" s="5"/>
      <c r="BE9" t="s">
        <v>698</v>
      </c>
      <c r="BF9" s="14" t="s">
        <v>762</v>
      </c>
      <c r="BG9" s="14" t="s">
        <v>769</v>
      </c>
      <c r="BH9" s="166" t="b">
        <f>H6</f>
        <v>0</v>
      </c>
      <c r="BI9" t="str">
        <f t="shared" si="0"/>
        <v xml:space="preserve"> </v>
      </c>
      <c r="BJ9" t="str">
        <f t="shared" si="1"/>
        <v xml:space="preserve"> </v>
      </c>
      <c r="BN9" s="138" t="s">
        <v>757</v>
      </c>
    </row>
    <row r="10" spans="2:71" ht="15" thickBot="1">
      <c r="B10" s="249" t="s">
        <v>456</v>
      </c>
      <c r="C10" s="244" t="b">
        <v>0</v>
      </c>
      <c r="D10" s="250" t="s">
        <v>230</v>
      </c>
      <c r="E10" s="245" t="b">
        <v>0</v>
      </c>
      <c r="F10" s="251" t="s">
        <v>458</v>
      </c>
      <c r="G10" s="244" t="b">
        <v>0</v>
      </c>
      <c r="H10" s="250" t="s">
        <v>460</v>
      </c>
      <c r="I10" s="245" t="b">
        <v>0</v>
      </c>
      <c r="J10" s="252" t="s">
        <v>779</v>
      </c>
      <c r="K10" s="243" t="b">
        <v>0</v>
      </c>
      <c r="O10" s="113" t="b">
        <f>OR(C9,E9,G9,I9,C10,E10,G10,I10,K9,K10)</f>
        <v>0</v>
      </c>
      <c r="X10" s="148" t="s">
        <v>593</v>
      </c>
      <c r="Z10" s="282">
        <v>3</v>
      </c>
      <c r="AA10" s="112" t="b">
        <f>NOT(D167)</f>
        <v>1</v>
      </c>
      <c r="AB10" s="21">
        <f t="shared" si="2"/>
        <v>3</v>
      </c>
      <c r="AC10" s="112" t="b">
        <f>NOT(D171)</f>
        <v>0</v>
      </c>
      <c r="AD10" s="138">
        <f t="shared" si="3"/>
        <v>0</v>
      </c>
      <c r="AF10" s="152" t="s">
        <v>604</v>
      </c>
      <c r="AG10" s="152"/>
      <c r="AH10" s="312">
        <v>100</v>
      </c>
      <c r="AI10" s="309" t="b">
        <f>NOT(AJ41)</f>
        <v>1</v>
      </c>
      <c r="AJ10" s="21">
        <f t="shared" si="4"/>
        <v>100</v>
      </c>
      <c r="AK10" s="309" t="b">
        <f>NOT(AJ43)</f>
        <v>0</v>
      </c>
      <c r="AL10" s="138">
        <f t="shared" si="5"/>
        <v>0</v>
      </c>
      <c r="AN10" t="s">
        <v>612</v>
      </c>
      <c r="AP10" s="282">
        <v>3</v>
      </c>
      <c r="AQ10" s="112" t="b">
        <f>NOT(BE55)</f>
        <v>1</v>
      </c>
      <c r="AR10" s="21">
        <f t="shared" si="6"/>
        <v>3</v>
      </c>
      <c r="AS10" s="112" t="b">
        <f>NOT(BE58)</f>
        <v>0</v>
      </c>
      <c r="AT10" s="138">
        <f t="shared" si="7"/>
        <v>0</v>
      </c>
      <c r="AZ10" s="5"/>
      <c r="BE10" t="s">
        <v>709</v>
      </c>
      <c r="BF10" s="14" t="s">
        <v>770</v>
      </c>
      <c r="BG10" s="14" t="s">
        <v>772</v>
      </c>
      <c r="BH10" s="166" t="b">
        <f>J6</f>
        <v>0</v>
      </c>
      <c r="BI10" t="str">
        <f t="shared" si="0"/>
        <v xml:space="preserve"> </v>
      </c>
      <c r="BJ10" t="str">
        <f t="shared" si="1"/>
        <v xml:space="preserve"> </v>
      </c>
      <c r="BN10" s="21" t="str">
        <f>CONCATENATE(BI4,BI5,BI6,BI7,BI8,BI9,BI10,BI11,BI12,BI13,BI14)</f>
        <v xml:space="preserve">IEC 60598-1:2024;           </v>
      </c>
    </row>
    <row r="11" spans="2:71">
      <c r="B11" s="346" t="s">
        <v>492</v>
      </c>
      <c r="C11" s="347" t="s">
        <v>496</v>
      </c>
      <c r="D11" s="348" t="s">
        <v>494</v>
      </c>
      <c r="E11" s="349" t="b">
        <v>0</v>
      </c>
      <c r="F11" s="350" t="s">
        <v>232</v>
      </c>
      <c r="G11" s="351" t="b">
        <v>0</v>
      </c>
      <c r="O11" s="21" t="s">
        <v>567</v>
      </c>
      <c r="X11" s="148" t="s">
        <v>594</v>
      </c>
      <c r="Z11" s="282">
        <v>3</v>
      </c>
      <c r="AA11" s="112" t="b">
        <f>NOT(L167)</f>
        <v>1</v>
      </c>
      <c r="AB11" s="21">
        <f t="shared" si="2"/>
        <v>3</v>
      </c>
      <c r="AC11" s="112" t="b">
        <f>NOT(L171)</f>
        <v>0</v>
      </c>
      <c r="AD11" s="138">
        <f t="shared" si="3"/>
        <v>0</v>
      </c>
      <c r="AF11" s="152" t="s">
        <v>605</v>
      </c>
      <c r="AG11" s="152"/>
      <c r="AH11" s="312">
        <v>10</v>
      </c>
      <c r="AI11" s="309" t="b">
        <f>NOT(AJ46)</f>
        <v>1</v>
      </c>
      <c r="AJ11" s="21">
        <f t="shared" si="4"/>
        <v>10</v>
      </c>
      <c r="AK11" s="309" t="b">
        <f>NOT(AJ48)</f>
        <v>0</v>
      </c>
      <c r="AL11" s="138">
        <f t="shared" si="5"/>
        <v>0</v>
      </c>
      <c r="AN11" s="86" t="s">
        <v>613</v>
      </c>
      <c r="AO11" s="86"/>
      <c r="AP11" s="306"/>
      <c r="AQ11" s="307"/>
      <c r="AR11" s="306"/>
      <c r="AS11" s="307"/>
      <c r="AT11" s="308"/>
      <c r="AZ11" s="5"/>
      <c r="BE11" t="s">
        <v>712</v>
      </c>
      <c r="BF11" s="14" t="s">
        <v>775</v>
      </c>
      <c r="BG11" s="14" t="s">
        <v>774</v>
      </c>
      <c r="BH11" s="166" t="b">
        <f>K6</f>
        <v>0</v>
      </c>
      <c r="BI11" t="str">
        <f t="shared" si="0"/>
        <v xml:space="preserve"> </v>
      </c>
      <c r="BJ11" t="str">
        <f t="shared" si="1"/>
        <v xml:space="preserve"> </v>
      </c>
      <c r="BN11" s="138" t="s">
        <v>758</v>
      </c>
    </row>
    <row r="12" spans="2:71" ht="15" thickBot="1">
      <c r="B12" s="352" t="s">
        <v>493</v>
      </c>
      <c r="C12" s="353" t="b">
        <v>0</v>
      </c>
      <c r="D12" s="354" t="s">
        <v>495</v>
      </c>
      <c r="E12" s="355" t="b">
        <v>0</v>
      </c>
      <c r="F12" s="356" t="s">
        <v>233</v>
      </c>
      <c r="G12" s="357" t="b">
        <v>0</v>
      </c>
      <c r="O12" s="113" t="b">
        <f>OR(C12,E11,E12,G11,G12)</f>
        <v>0</v>
      </c>
      <c r="X12" s="148" t="s">
        <v>595</v>
      </c>
      <c r="Z12" s="282">
        <v>5</v>
      </c>
      <c r="AA12" s="112" t="b">
        <f>NOT(D212)</f>
        <v>1</v>
      </c>
      <c r="AB12" s="21">
        <f t="shared" si="2"/>
        <v>5</v>
      </c>
      <c r="AC12" s="112" t="b">
        <f>NOT(L213)</f>
        <v>0</v>
      </c>
      <c r="AD12" s="138">
        <f t="shared" si="3"/>
        <v>0</v>
      </c>
      <c r="AF12" s="152" t="s">
        <v>606</v>
      </c>
      <c r="AG12" s="152"/>
      <c r="AH12" s="312">
        <v>10</v>
      </c>
      <c r="AI12" s="309" t="b">
        <f>NOT(AJ51)</f>
        <v>1</v>
      </c>
      <c r="AJ12" s="21">
        <f t="shared" si="4"/>
        <v>10</v>
      </c>
      <c r="AK12" s="309" t="b">
        <f>NOT(AJ53)</f>
        <v>0</v>
      </c>
      <c r="AL12" s="138">
        <f t="shared" si="5"/>
        <v>0</v>
      </c>
      <c r="AN12" t="s">
        <v>614</v>
      </c>
      <c r="AP12" s="282">
        <v>5</v>
      </c>
      <c r="AQ12" s="112" t="b">
        <f>NOT(BW23)</f>
        <v>1</v>
      </c>
      <c r="AR12" s="21">
        <f t="shared" si="6"/>
        <v>5</v>
      </c>
      <c r="AS12" s="112" t="b">
        <f>NOT(BW27)</f>
        <v>0</v>
      </c>
      <c r="AT12" s="138">
        <f t="shared" si="7"/>
        <v>0</v>
      </c>
      <c r="AZ12" s="5"/>
      <c r="BE12" t="s">
        <v>715</v>
      </c>
      <c r="BF12" s="345" t="s">
        <v>866</v>
      </c>
      <c r="BG12" s="14" t="s">
        <v>865</v>
      </c>
      <c r="BH12" s="166" t="b">
        <f>L6</f>
        <v>0</v>
      </c>
      <c r="BI12" t="str">
        <f t="shared" si="0"/>
        <v xml:space="preserve"> </v>
      </c>
      <c r="BJ12" t="str">
        <f t="shared" si="1"/>
        <v xml:space="preserve"> </v>
      </c>
      <c r="BN12" s="21" t="str">
        <f>CONCATENATE(BJ4,BJ5,BJ6,BJ7,BJ8,BJ9,BJ10,BJ11,BJ12,BJ13,BJ14)</f>
        <v xml:space="preserve">EN IEC 60598-1:2024 + A11:2024;           </v>
      </c>
    </row>
    <row r="13" spans="2:71" ht="15" thickBot="1">
      <c r="K13" s="21" t="s">
        <v>718</v>
      </c>
      <c r="L13" s="113" t="b">
        <v>0</v>
      </c>
      <c r="X13" s="148"/>
      <c r="Z13" s="21"/>
      <c r="AA13" s="21"/>
      <c r="AB13" s="21">
        <f t="shared" si="2"/>
        <v>0</v>
      </c>
      <c r="AC13" s="21"/>
      <c r="AD13" s="138">
        <f t="shared" si="3"/>
        <v>0</v>
      </c>
      <c r="AF13" s="152" t="s">
        <v>607</v>
      </c>
      <c r="AG13" s="152"/>
      <c r="AH13" s="312">
        <v>10</v>
      </c>
      <c r="AI13" s="310" t="b">
        <f>NOT(AJ56)</f>
        <v>1</v>
      </c>
      <c r="AJ13" s="21">
        <f t="shared" si="4"/>
        <v>10</v>
      </c>
      <c r="AK13" s="309" t="b">
        <f>NOT(AJ58)</f>
        <v>0</v>
      </c>
      <c r="AL13" s="138">
        <f t="shared" si="5"/>
        <v>0</v>
      </c>
      <c r="AN13" t="s">
        <v>615</v>
      </c>
      <c r="AP13" s="282">
        <v>5</v>
      </c>
      <c r="AQ13" s="113" t="b">
        <f>NOT(BW31)</f>
        <v>1</v>
      </c>
      <c r="AR13" s="21">
        <f t="shared" si="6"/>
        <v>5</v>
      </c>
      <c r="AS13" s="112" t="b">
        <f>NOT(BW43)</f>
        <v>0</v>
      </c>
      <c r="AT13" s="138">
        <f t="shared" si="7"/>
        <v>0</v>
      </c>
      <c r="AZ13" s="5"/>
      <c r="BE13" t="s">
        <v>716</v>
      </c>
      <c r="BF13" s="14" t="s">
        <v>771</v>
      </c>
      <c r="BG13" s="14" t="s">
        <v>776</v>
      </c>
      <c r="BH13" s="166" t="b">
        <f>M6</f>
        <v>0</v>
      </c>
      <c r="BI13" t="str">
        <f t="shared" si="0"/>
        <v xml:space="preserve"> </v>
      </c>
      <c r="BJ13" t="str">
        <f t="shared" si="1"/>
        <v xml:space="preserve"> </v>
      </c>
      <c r="BN13" s="138" t="s">
        <v>763</v>
      </c>
    </row>
    <row r="14" spans="2:71">
      <c r="B14" s="246" t="s">
        <v>560</v>
      </c>
      <c r="C14" s="241" t="b">
        <v>0</v>
      </c>
      <c r="D14" s="247" t="s">
        <v>561</v>
      </c>
      <c r="E14" s="242" t="b">
        <v>0</v>
      </c>
      <c r="F14" s="248" t="s">
        <v>568</v>
      </c>
      <c r="G14" s="241" t="b">
        <v>0</v>
      </c>
      <c r="H14" s="277" t="s">
        <v>562</v>
      </c>
      <c r="I14" s="278" t="b">
        <v>0</v>
      </c>
      <c r="K14" s="21" t="s">
        <v>719</v>
      </c>
      <c r="L14" s="113" t="b">
        <v>0</v>
      </c>
      <c r="M14" s="166"/>
      <c r="O14" s="21" t="s">
        <v>649</v>
      </c>
      <c r="X14" s="148" t="s">
        <v>622</v>
      </c>
      <c r="Z14" s="282">
        <v>5</v>
      </c>
      <c r="AA14" s="113" t="b">
        <f>NOT(L20)</f>
        <v>1</v>
      </c>
      <c r="AB14" s="21">
        <f t="shared" si="2"/>
        <v>5</v>
      </c>
      <c r="AC14" s="113" t="b">
        <f>NOT(L31)</f>
        <v>1</v>
      </c>
      <c r="AD14" s="138">
        <f t="shared" si="3"/>
        <v>5</v>
      </c>
      <c r="AF14" s="152" t="s">
        <v>625</v>
      </c>
      <c r="AH14" s="282">
        <v>30</v>
      </c>
      <c r="AI14" s="113" t="e">
        <f>NOT(#REF!)</f>
        <v>#REF!</v>
      </c>
      <c r="AJ14" s="21" t="e">
        <f t="shared" si="4"/>
        <v>#REF!</v>
      </c>
      <c r="AK14" s="113" t="e">
        <f>NOT(#REF!)</f>
        <v>#REF!</v>
      </c>
      <c r="AL14" s="138" t="e">
        <f t="shared" si="5"/>
        <v>#REF!</v>
      </c>
      <c r="AN14" t="s">
        <v>616</v>
      </c>
      <c r="AP14" s="282">
        <v>5</v>
      </c>
      <c r="AQ14" s="113" t="b">
        <f>NOT(BW47)</f>
        <v>1</v>
      </c>
      <c r="AR14" s="21">
        <f t="shared" si="6"/>
        <v>5</v>
      </c>
      <c r="AS14" s="112" t="b">
        <f>NOT(BW60)</f>
        <v>0</v>
      </c>
      <c r="AT14" s="138">
        <f t="shared" si="7"/>
        <v>0</v>
      </c>
      <c r="AZ14" s="5"/>
      <c r="BE14" t="s">
        <v>755</v>
      </c>
      <c r="BF14" s="168" cm="1">
        <f t="array" ref="BF14:BG14">'RESUMEN PROYECTO LUM'!D27:E27</f>
        <v>0</v>
      </c>
      <c r="BG14" s="168">
        <v>0</v>
      </c>
      <c r="BH14" s="166" t="b">
        <f>N6</f>
        <v>0</v>
      </c>
      <c r="BI14" t="str">
        <f t="shared" si="0"/>
        <v xml:space="preserve"> </v>
      </c>
      <c r="BJ14" t="str">
        <f t="shared" si="1"/>
        <v xml:space="preserve"> </v>
      </c>
      <c r="BN14" s="21" t="e">
        <f>CONCATENATE(BR4,BR5,"
",BS4,BS5)</f>
        <v>#REF!</v>
      </c>
    </row>
    <row r="15" spans="2:71" ht="15" thickBot="1">
      <c r="B15" s="276" t="s">
        <v>563</v>
      </c>
      <c r="C15" s="245" t="b">
        <v>0</v>
      </c>
      <c r="D15" s="251" t="s">
        <v>564</v>
      </c>
      <c r="E15" s="244" t="b">
        <v>0</v>
      </c>
      <c r="F15" s="250" t="s">
        <v>569</v>
      </c>
      <c r="G15" s="245" t="b">
        <v>0</v>
      </c>
      <c r="H15" s="274"/>
      <c r="I15" s="275"/>
      <c r="K15" s="21" t="s">
        <v>720</v>
      </c>
      <c r="L15" s="113" t="b">
        <v>0</v>
      </c>
      <c r="M15" s="166"/>
      <c r="O15" s="113" t="b">
        <f>OR(C14,E14,G14,I14,C15,E15,G15)</f>
        <v>0</v>
      </c>
      <c r="X15" s="148"/>
      <c r="AN15" t="s">
        <v>585</v>
      </c>
      <c r="AP15" s="282">
        <v>10</v>
      </c>
      <c r="AQ15" s="113" t="b">
        <f>NOT(BW63)</f>
        <v>1</v>
      </c>
      <c r="AR15" s="21">
        <f t="shared" si="6"/>
        <v>10</v>
      </c>
      <c r="AS15" s="113" t="b">
        <f>NOT(BW70)</f>
        <v>0</v>
      </c>
      <c r="AT15" s="138">
        <f t="shared" si="7"/>
        <v>0</v>
      </c>
      <c r="AZ15" s="5"/>
    </row>
    <row r="16" spans="2:71" ht="15" thickBot="1">
      <c r="K16" s="21" t="s">
        <v>721</v>
      </c>
      <c r="L16" s="113" t="b">
        <v>0</v>
      </c>
      <c r="X16" s="149"/>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1"/>
    </row>
    <row r="17" spans="2:95" ht="15" thickBot="1"/>
    <row r="18" spans="2:95" ht="15.6">
      <c r="B18" s="141" t="s">
        <v>228</v>
      </c>
      <c r="C18" s="142"/>
      <c r="D18" s="142"/>
      <c r="E18" s="142"/>
      <c r="F18" s="142"/>
      <c r="G18" s="142"/>
      <c r="H18" s="143"/>
      <c r="J18" s="141" t="s">
        <v>250</v>
      </c>
      <c r="K18" s="142"/>
      <c r="L18" s="142"/>
      <c r="M18" s="142"/>
      <c r="N18" s="142"/>
      <c r="O18" s="142"/>
      <c r="P18" s="143"/>
      <c r="R18" s="141" t="s">
        <v>1171</v>
      </c>
      <c r="S18" s="142"/>
      <c r="T18" s="142"/>
      <c r="U18" s="142"/>
      <c r="V18" s="142"/>
      <c r="W18" s="142"/>
      <c r="X18" s="143"/>
      <c r="Z18" s="141" t="s">
        <v>1175</v>
      </c>
      <c r="AA18" s="142"/>
      <c r="AB18" s="142"/>
      <c r="AC18" s="142"/>
      <c r="AD18" s="142"/>
      <c r="AE18" s="142"/>
      <c r="AF18" s="143"/>
      <c r="AH18" s="141" t="s">
        <v>1181</v>
      </c>
      <c r="AI18" s="142"/>
      <c r="AJ18" s="142"/>
      <c r="AK18" s="142"/>
      <c r="AL18" s="142"/>
      <c r="AM18" s="142"/>
      <c r="AN18" s="143"/>
      <c r="AP18" s="141" t="s">
        <v>1186</v>
      </c>
      <c r="AQ18" s="142"/>
      <c r="AR18" s="142"/>
      <c r="AS18" s="142"/>
      <c r="AT18" s="142"/>
      <c r="AU18" s="142"/>
      <c r="AV18" s="142"/>
      <c r="AW18" s="142"/>
      <c r="AX18" s="142"/>
      <c r="AY18" s="142"/>
      <c r="AZ18" s="142"/>
      <c r="BA18" s="143"/>
      <c r="BC18" s="141" t="s">
        <v>1191</v>
      </c>
      <c r="BD18" s="142"/>
      <c r="BE18" s="142"/>
      <c r="BF18" s="142"/>
      <c r="BG18" s="142"/>
      <c r="BH18" s="142"/>
      <c r="BI18" s="142"/>
      <c r="BJ18" s="143"/>
      <c r="BL18" s="141" t="s">
        <v>1169</v>
      </c>
      <c r="BM18" s="142"/>
      <c r="BN18" s="142"/>
      <c r="BO18" s="142"/>
      <c r="BP18" s="142"/>
      <c r="BQ18" s="142"/>
      <c r="BR18" s="142"/>
      <c r="BS18" s="143"/>
      <c r="BU18" s="141" t="s">
        <v>1199</v>
      </c>
      <c r="BV18" s="142"/>
      <c r="BW18" s="142"/>
      <c r="BX18" s="142"/>
      <c r="BY18" s="142"/>
      <c r="BZ18" s="142"/>
      <c r="CA18" s="142"/>
      <c r="CB18" s="143"/>
      <c r="CD18" s="141" t="s">
        <v>85</v>
      </c>
      <c r="CE18" s="142"/>
      <c r="CF18" s="142"/>
      <c r="CG18" s="142"/>
      <c r="CH18" s="142"/>
      <c r="CI18" s="142"/>
      <c r="CJ18" s="142"/>
      <c r="CK18" s="142"/>
      <c r="CL18" s="335"/>
      <c r="CM18" s="336"/>
      <c r="CN18" s="336"/>
      <c r="CO18" s="336"/>
      <c r="CP18" s="336"/>
      <c r="CQ18" s="337"/>
    </row>
    <row r="19" spans="2:95" ht="15.6">
      <c r="B19" s="144"/>
      <c r="H19" s="5"/>
      <c r="J19" s="144"/>
      <c r="P19" s="5"/>
      <c r="R19" s="148"/>
      <c r="X19" s="5"/>
      <c r="Z19" s="148"/>
      <c r="AF19" s="5"/>
      <c r="AH19" s="148"/>
      <c r="AN19" s="5"/>
      <c r="AP19" s="148"/>
      <c r="BA19" s="5"/>
      <c r="BC19" s="148"/>
      <c r="BJ19" s="5"/>
      <c r="BL19" s="148"/>
      <c r="BS19" s="5"/>
      <c r="BU19" s="148"/>
      <c r="CB19" s="5"/>
      <c r="CD19" s="148"/>
      <c r="CL19" s="147"/>
      <c r="CM19" s="13"/>
      <c r="CN19" s="13"/>
      <c r="CO19" s="13"/>
      <c r="CP19" s="13"/>
      <c r="CQ19" s="338"/>
    </row>
    <row r="20" spans="2:95">
      <c r="B20" s="145" t="s">
        <v>264</v>
      </c>
      <c r="C20" s="146"/>
      <c r="D20" s="140"/>
      <c r="E20" t="s">
        <v>267</v>
      </c>
      <c r="H20" s="5"/>
      <c r="J20" s="150" t="s">
        <v>264</v>
      </c>
      <c r="K20" s="46"/>
      <c r="L20" s="140" t="b">
        <v>0</v>
      </c>
      <c r="M20" t="s">
        <v>266</v>
      </c>
      <c r="P20" s="5"/>
      <c r="R20" s="153" t="s">
        <v>372</v>
      </c>
      <c r="S20" s="18"/>
      <c r="T20" s="140" t="b">
        <v>0</v>
      </c>
      <c r="U20" t="s">
        <v>375</v>
      </c>
      <c r="X20" s="5"/>
      <c r="Z20" s="167" t="s">
        <v>389</v>
      </c>
      <c r="AA20" s="19"/>
      <c r="AB20" s="140" t="b">
        <v>0</v>
      </c>
      <c r="AC20" t="s">
        <v>375</v>
      </c>
      <c r="AF20" s="5"/>
      <c r="AH20" s="145" t="s">
        <v>389</v>
      </c>
      <c r="AI20" s="13"/>
      <c r="AJ20" s="140" t="b">
        <v>0</v>
      </c>
      <c r="AK20" t="s">
        <v>375</v>
      </c>
      <c r="AN20" s="5"/>
      <c r="AP20" s="145" t="s">
        <v>389</v>
      </c>
      <c r="AQ20" s="13"/>
      <c r="AR20" s="140" t="b">
        <v>0</v>
      </c>
      <c r="AS20" t="s">
        <v>375</v>
      </c>
      <c r="BA20" s="5"/>
      <c r="BC20" s="161" t="s">
        <v>389</v>
      </c>
      <c r="BD20" s="34"/>
      <c r="BE20" s="140" t="b">
        <v>0</v>
      </c>
      <c r="BJ20" s="5"/>
      <c r="BL20" s="169" t="s">
        <v>389</v>
      </c>
      <c r="BM20" s="9"/>
      <c r="BN20" s="140" t="b">
        <v>0</v>
      </c>
      <c r="BS20" s="5"/>
      <c r="BU20" s="270" t="s">
        <v>389</v>
      </c>
      <c r="BV20" s="86"/>
      <c r="BW20" s="140" t="b">
        <v>0</v>
      </c>
      <c r="CB20" s="5"/>
      <c r="CD20" s="320" t="s">
        <v>666</v>
      </c>
      <c r="CE20" s="321"/>
      <c r="CF20" s="113" t="b">
        <f>F6</f>
        <v>0</v>
      </c>
      <c r="CL20" s="145" t="s">
        <v>749</v>
      </c>
      <c r="CM20" s="146"/>
      <c r="CN20" s="146"/>
      <c r="CO20" s="113" t="b">
        <f>OR(CF60,CF75,CM85,CM96,CF108)</f>
        <v>0</v>
      </c>
      <c r="CP20" s="13"/>
      <c r="CQ20" s="338"/>
    </row>
    <row r="21" spans="2:95">
      <c r="B21" s="147" t="s">
        <v>234</v>
      </c>
      <c r="C21" s="13"/>
      <c r="D21" s="113" t="b">
        <f>OR(E9,E10)</f>
        <v>0</v>
      </c>
      <c r="E21" t="s">
        <v>235</v>
      </c>
      <c r="H21" s="5"/>
      <c r="J21" s="151" t="s">
        <v>203</v>
      </c>
      <c r="K21" s="10"/>
      <c r="L21" s="113" t="b">
        <f>L13</f>
        <v>0</v>
      </c>
      <c r="M21" s="21">
        <f>IF(L13=L14,1,0)</f>
        <v>1</v>
      </c>
      <c r="N21" t="s">
        <v>262</v>
      </c>
      <c r="P21" s="5"/>
      <c r="R21" s="153" t="s">
        <v>373</v>
      </c>
      <c r="S21" s="18"/>
      <c r="T21" s="139" t="b">
        <f>IF(D8&lt;&gt;1,TRUE,FALSE)</f>
        <v>0</v>
      </c>
      <c r="U21" t="s">
        <v>376</v>
      </c>
      <c r="X21" s="5"/>
      <c r="Z21" s="187"/>
      <c r="AB21" s="139"/>
      <c r="AF21" s="5"/>
      <c r="AH21" s="148"/>
      <c r="AN21" s="5"/>
      <c r="AP21" s="148"/>
      <c r="BA21" s="5"/>
      <c r="BC21" s="148"/>
      <c r="BJ21" s="5"/>
      <c r="BL21" s="148"/>
      <c r="BS21" s="5"/>
      <c r="BU21" s="148"/>
      <c r="CB21" s="5"/>
      <c r="CD21" s="148"/>
      <c r="CL21" s="147"/>
      <c r="CM21" s="13"/>
      <c r="CN21" s="13"/>
      <c r="CO21" s="13"/>
      <c r="CP21" s="13"/>
      <c r="CQ21" s="338"/>
    </row>
    <row r="22" spans="2:95">
      <c r="B22" s="147" t="s">
        <v>229</v>
      </c>
      <c r="C22" s="13"/>
      <c r="D22" s="21">
        <f>IF(OR(D21=FALSE),0,3*D7)</f>
        <v>0</v>
      </c>
      <c r="E22" t="s">
        <v>236</v>
      </c>
      <c r="H22" s="5"/>
      <c r="J22" s="151" t="s">
        <v>261</v>
      </c>
      <c r="K22" s="10"/>
      <c r="L22" s="113" t="b">
        <f>L15</f>
        <v>0</v>
      </c>
      <c r="M22" s="21">
        <f>IF(L21=TRUE,0,IF(L15=L16,1,0))</f>
        <v>1</v>
      </c>
      <c r="N22" t="s">
        <v>263</v>
      </c>
      <c r="P22" s="5"/>
      <c r="R22" s="153" t="s">
        <v>374</v>
      </c>
      <c r="S22" s="18"/>
      <c r="T22" s="140" t="b">
        <f>OR(T20,T21)</f>
        <v>0</v>
      </c>
      <c r="U22" t="s">
        <v>377</v>
      </c>
      <c r="X22" s="5"/>
      <c r="Z22" s="22" t="s">
        <v>390</v>
      </c>
      <c r="AA22" s="19"/>
      <c r="AB22" s="113" t="b">
        <v>0</v>
      </c>
      <c r="AF22" s="5"/>
      <c r="AH22" s="187" t="s">
        <v>404</v>
      </c>
      <c r="AK22" t="s">
        <v>408</v>
      </c>
      <c r="AN22" s="5"/>
      <c r="AP22" s="145" t="s">
        <v>444</v>
      </c>
      <c r="AQ22" s="146"/>
      <c r="AR22" s="21">
        <v>20</v>
      </c>
      <c r="AS22" s="21">
        <v>40</v>
      </c>
      <c r="AT22" s="21">
        <v>60</v>
      </c>
      <c r="AU22" s="21">
        <v>80</v>
      </c>
      <c r="AV22" s="21">
        <v>100</v>
      </c>
      <c r="AW22" s="21">
        <v>120</v>
      </c>
      <c r="AX22" s="228">
        <v>140</v>
      </c>
      <c r="AY22" t="s">
        <v>445</v>
      </c>
      <c r="BA22" s="5"/>
      <c r="BC22" s="163" t="s">
        <v>397</v>
      </c>
      <c r="BD22" s="34"/>
      <c r="BE22" s="34"/>
      <c r="BF22" s="34"/>
      <c r="BG22" s="34"/>
      <c r="BH22" s="34"/>
      <c r="BJ22" s="5"/>
      <c r="BL22" s="169" t="s">
        <v>526</v>
      </c>
      <c r="BM22" s="61"/>
      <c r="BN22" s="113" t="b">
        <v>0</v>
      </c>
      <c r="BS22" s="5"/>
      <c r="BU22" s="270" t="s">
        <v>534</v>
      </c>
      <c r="BV22" s="87"/>
      <c r="BW22" s="271" t="b">
        <v>0</v>
      </c>
      <c r="CB22" s="5"/>
      <c r="CD22" s="322" t="s">
        <v>667</v>
      </c>
      <c r="CE22" s="35"/>
      <c r="CF22" s="113" t="b">
        <v>0</v>
      </c>
      <c r="CL22" s="147"/>
      <c r="CM22" s="13"/>
      <c r="CN22" s="13"/>
      <c r="CO22" s="13"/>
      <c r="CP22" s="13"/>
      <c r="CQ22" s="338"/>
    </row>
    <row r="23" spans="2:95">
      <c r="B23" s="147" t="s">
        <v>238</v>
      </c>
      <c r="C23" s="13"/>
      <c r="D23" s="21">
        <f>COUNTIF('Toma de notas 60598'!G17:N19,"&gt;0")</f>
        <v>0</v>
      </c>
      <c r="E23" t="s">
        <v>240</v>
      </c>
      <c r="H23" s="5"/>
      <c r="J23" s="148"/>
      <c r="P23" s="5"/>
      <c r="R23" s="148"/>
      <c r="X23" s="5"/>
      <c r="Z23" s="22" t="s">
        <v>265</v>
      </c>
      <c r="AA23" s="19"/>
      <c r="AB23" s="21">
        <f>IF('Toma de notas 60598'!F595=0,1,0)</f>
        <v>1</v>
      </c>
      <c r="AC23" t="s">
        <v>246</v>
      </c>
      <c r="AF23" s="5"/>
      <c r="AH23" s="147" t="s">
        <v>1007</v>
      </c>
      <c r="AI23" s="13"/>
      <c r="AJ23" s="113" t="b">
        <v>0</v>
      </c>
      <c r="AN23" s="5"/>
      <c r="AP23" s="148"/>
      <c r="BA23" s="5"/>
      <c r="BC23" s="148"/>
      <c r="BE23" s="258" t="s">
        <v>497</v>
      </c>
      <c r="BF23" s="258" t="s">
        <v>43</v>
      </c>
      <c r="BG23" s="258" t="s">
        <v>498</v>
      </c>
      <c r="BH23" s="257" t="s">
        <v>499</v>
      </c>
      <c r="BJ23" s="5"/>
      <c r="BL23" s="169" t="s">
        <v>527</v>
      </c>
      <c r="BM23" s="61"/>
      <c r="BN23" s="113" t="b">
        <v>0</v>
      </c>
      <c r="BS23" s="5"/>
      <c r="BU23" s="270" t="s">
        <v>535</v>
      </c>
      <c r="BV23" s="86"/>
      <c r="BW23" s="113" t="b">
        <f>OR(BW20,BW22)</f>
        <v>0</v>
      </c>
      <c r="BX23" t="s">
        <v>536</v>
      </c>
      <c r="CB23" s="5"/>
      <c r="CD23" s="322" t="s">
        <v>678</v>
      </c>
      <c r="CE23" s="35"/>
      <c r="CF23" s="113" t="b">
        <f>OR(CF22,NOT(CF20))</f>
        <v>1</v>
      </c>
      <c r="CG23" t="s">
        <v>668</v>
      </c>
      <c r="CL23" s="147"/>
      <c r="CM23" s="13"/>
      <c r="CN23" s="13"/>
      <c r="CO23" s="13"/>
      <c r="CP23" s="13"/>
      <c r="CQ23" s="338"/>
    </row>
    <row r="24" spans="2:95" ht="15" thickBot="1">
      <c r="B24" s="147" t="s">
        <v>237</v>
      </c>
      <c r="C24" s="13"/>
      <c r="D24" s="21">
        <f>D22-D23</f>
        <v>0</v>
      </c>
      <c r="E24" t="s">
        <v>241</v>
      </c>
      <c r="H24" s="5"/>
      <c r="J24" s="151" t="s">
        <v>229</v>
      </c>
      <c r="K24" s="10"/>
      <c r="L24" s="21">
        <f>IF(L21=TRUE,0,3*D7)</f>
        <v>3</v>
      </c>
      <c r="M24" s="152" t="s">
        <v>236</v>
      </c>
      <c r="P24" s="5"/>
      <c r="R24" s="24" t="s">
        <v>265</v>
      </c>
      <c r="S24" s="18"/>
      <c r="T24" s="21">
        <f>IF('Toma de notas 60598'!F575=0,1,0)</f>
        <v>1</v>
      </c>
      <c r="U24" t="s">
        <v>246</v>
      </c>
      <c r="X24" s="5"/>
      <c r="Z24" s="148"/>
      <c r="AF24" s="5"/>
      <c r="AH24" s="147" t="s">
        <v>1056</v>
      </c>
      <c r="AI24" s="13"/>
      <c r="AJ24" s="113" t="b">
        <v>0</v>
      </c>
      <c r="AN24" s="5"/>
      <c r="AP24" s="233"/>
      <c r="AQ24" s="237" t="s">
        <v>430</v>
      </c>
      <c r="AR24" s="237" t="s">
        <v>431</v>
      </c>
      <c r="AS24" s="237" t="s">
        <v>432</v>
      </c>
      <c r="AT24" s="237" t="s">
        <v>433</v>
      </c>
      <c r="AU24" s="237" t="s">
        <v>434</v>
      </c>
      <c r="AV24" s="237" t="s">
        <v>435</v>
      </c>
      <c r="AW24" s="237" t="s">
        <v>436</v>
      </c>
      <c r="AX24" s="237" t="s">
        <v>437</v>
      </c>
      <c r="BA24" s="5"/>
      <c r="BC24" s="163" t="s">
        <v>1077</v>
      </c>
      <c r="BD24" s="34"/>
      <c r="BE24" s="255" t="b">
        <v>1</v>
      </c>
      <c r="BF24" s="255" t="b">
        <v>1</v>
      </c>
      <c r="BG24" s="255" t="b">
        <v>0</v>
      </c>
      <c r="BH24" s="256" t="b">
        <f>OR(BE24,BF24,BG24)</f>
        <v>1</v>
      </c>
      <c r="BJ24" s="5"/>
      <c r="BL24" s="148"/>
      <c r="BS24" s="5"/>
      <c r="BU24" s="148"/>
      <c r="CB24" s="5"/>
      <c r="CD24" s="148"/>
      <c r="CL24" s="340"/>
      <c r="CM24" s="341"/>
      <c r="CN24" s="341"/>
      <c r="CO24" s="341"/>
      <c r="CP24" s="341"/>
      <c r="CQ24" s="339"/>
    </row>
    <row r="25" spans="2:95">
      <c r="B25" s="147" t="s">
        <v>428</v>
      </c>
      <c r="C25" s="13"/>
      <c r="D25" s="21">
        <f>IF(AND(D24&lt;&gt;0,D21=TRUE),1,0)</f>
        <v>0</v>
      </c>
      <c r="E25" t="s">
        <v>242</v>
      </c>
      <c r="H25" s="5"/>
      <c r="J25" s="151" t="s">
        <v>238</v>
      </c>
      <c r="K25" s="10"/>
      <c r="L25" s="21">
        <f>COUNTIF('Toma de notas 60598'!G31:N33,"&gt;0")</f>
        <v>3</v>
      </c>
      <c r="M25" t="s">
        <v>240</v>
      </c>
      <c r="P25" s="5"/>
      <c r="R25" s="148"/>
      <c r="X25" s="5"/>
      <c r="Z25" s="22" t="s">
        <v>391</v>
      </c>
      <c r="AA25" s="19"/>
      <c r="AB25" s="113" t="b">
        <f>IF(AB22=TRUE,FALSE,IF(AB23=1,TRUE,FALSE))</f>
        <v>1</v>
      </c>
      <c r="AF25" s="5"/>
      <c r="AH25" s="147" t="s">
        <v>1049</v>
      </c>
      <c r="AI25" s="13"/>
      <c r="AJ25" s="113" t="b">
        <v>0</v>
      </c>
      <c r="AN25" s="5"/>
      <c r="AP25" s="233" t="s">
        <v>438</v>
      </c>
      <c r="AQ25" s="237">
        <f>IF($E$10,'Toma de notas 60598'!G17/2,'Toma de notas 60598'!G17)</f>
        <v>0</v>
      </c>
      <c r="AR25" s="237">
        <f>'Toma de notas 60598'!H17</f>
        <v>0</v>
      </c>
      <c r="AS25" s="237">
        <f>'Toma de notas 60598'!I17</f>
        <v>0</v>
      </c>
      <c r="AT25" s="237">
        <f>'Toma de notas 60598'!J17</f>
        <v>0</v>
      </c>
      <c r="AU25" s="237">
        <f>'Toma de notas 60598'!K17</f>
        <v>0</v>
      </c>
      <c r="AV25" s="237">
        <f>'Toma de notas 60598'!L17</f>
        <v>0</v>
      </c>
      <c r="AW25" s="237">
        <f>'Toma de notas 60598'!M17</f>
        <v>0</v>
      </c>
      <c r="AX25" s="237">
        <f>'Toma de notas 60598'!N17</f>
        <v>0</v>
      </c>
      <c r="BA25" s="5"/>
      <c r="BC25" s="163" t="s">
        <v>1076</v>
      </c>
      <c r="BD25" s="34"/>
      <c r="BE25" s="255" t="b">
        <v>0</v>
      </c>
      <c r="BF25" s="255" t="b">
        <v>0</v>
      </c>
      <c r="BG25" s="255" t="b">
        <v>0</v>
      </c>
      <c r="BH25" s="256" t="b">
        <f t="shared" ref="BH25:BH30" si="8">OR(BE25,BF25,BG25)</f>
        <v>0</v>
      </c>
      <c r="BJ25" s="5"/>
      <c r="BL25" s="170" t="s">
        <v>506</v>
      </c>
      <c r="BM25" s="9"/>
      <c r="BN25" s="21">
        <f>IF('Toma de notas 60598'!F540=0,1,0)</f>
        <v>1</v>
      </c>
      <c r="BO25" t="s">
        <v>528</v>
      </c>
      <c r="BS25" s="5"/>
      <c r="BU25" s="155" t="s">
        <v>539</v>
      </c>
      <c r="BV25" s="86"/>
      <c r="BW25" s="21">
        <f>IF('Toma de notas 60598'!F846=0,1,0)</f>
        <v>1</v>
      </c>
      <c r="BX25" t="s">
        <v>528</v>
      </c>
      <c r="CB25" s="5"/>
      <c r="CD25" s="322" t="s">
        <v>669</v>
      </c>
      <c r="CE25" s="35"/>
      <c r="CF25" s="35" t="s">
        <v>670</v>
      </c>
      <c r="CG25" s="35" t="s">
        <v>671</v>
      </c>
      <c r="CH25" s="35" t="s">
        <v>672</v>
      </c>
      <c r="CQ25" s="5"/>
    </row>
    <row r="26" spans="2:95">
      <c r="B26" s="148"/>
      <c r="H26" s="5"/>
      <c r="J26" s="151" t="s">
        <v>237</v>
      </c>
      <c r="K26" s="10"/>
      <c r="L26" s="21">
        <f>L24-L25</f>
        <v>0</v>
      </c>
      <c r="P26" s="5"/>
      <c r="R26" s="184" t="s">
        <v>378</v>
      </c>
      <c r="S26" s="18"/>
      <c r="T26" s="113" t="b">
        <f>IF(COUNTIF('Toma de notas 60598'!G577:N577,"&gt;0")&gt;1,TRUE,FALSE)</f>
        <v>0</v>
      </c>
      <c r="U26" t="s">
        <v>380</v>
      </c>
      <c r="X26" s="5"/>
      <c r="Z26" s="148"/>
      <c r="AF26" s="5"/>
      <c r="AH26" s="147" t="s">
        <v>1008</v>
      </c>
      <c r="AI26" s="13"/>
      <c r="AJ26" s="113" t="b">
        <v>0</v>
      </c>
      <c r="AN26" s="5"/>
      <c r="AP26" s="233" t="s">
        <v>439</v>
      </c>
      <c r="AQ26" s="237">
        <f>'Toma de notas 60598'!G18</f>
        <v>0</v>
      </c>
      <c r="AR26" s="237">
        <f>'Toma de notas 60598'!H18</f>
        <v>0</v>
      </c>
      <c r="AS26" s="237">
        <f>'Toma de notas 60598'!I18</f>
        <v>0</v>
      </c>
      <c r="AT26" s="237">
        <f>'Toma de notas 60598'!J18</f>
        <v>0</v>
      </c>
      <c r="AU26" s="237">
        <f>'Toma de notas 60598'!K18</f>
        <v>0</v>
      </c>
      <c r="AV26" s="237">
        <f>'Toma de notas 60598'!L18</f>
        <v>0</v>
      </c>
      <c r="AW26" s="237">
        <f>'Toma de notas 60598'!M18</f>
        <v>0</v>
      </c>
      <c r="AX26" s="237">
        <f>'Toma de notas 60598'!N18</f>
        <v>0</v>
      </c>
      <c r="BA26" s="5"/>
      <c r="BC26" s="163" t="s">
        <v>1078</v>
      </c>
      <c r="BD26" s="34"/>
      <c r="BE26" s="255" t="b">
        <v>0</v>
      </c>
      <c r="BF26" s="255" t="b">
        <v>0</v>
      </c>
      <c r="BG26" s="255" t="b">
        <v>0</v>
      </c>
      <c r="BH26" s="256" t="b">
        <f t="shared" si="8"/>
        <v>0</v>
      </c>
      <c r="BJ26" s="5"/>
      <c r="BL26" s="148"/>
      <c r="BS26" s="5"/>
      <c r="BU26" s="148"/>
      <c r="CB26" s="5"/>
      <c r="CD26" s="148"/>
      <c r="CF26" s="113" t="b">
        <v>0</v>
      </c>
      <c r="CG26" s="113" t="b">
        <v>0</v>
      </c>
      <c r="CH26" s="113" t="b">
        <v>0</v>
      </c>
      <c r="CQ26" s="5"/>
    </row>
    <row r="27" spans="2:95">
      <c r="B27" s="147" t="s">
        <v>245</v>
      </c>
      <c r="C27" s="13"/>
      <c r="D27" s="21">
        <f>IF('Toma de notas 60598'!F5&gt;0,0,1)</f>
        <v>1</v>
      </c>
      <c r="E27" t="s">
        <v>246</v>
      </c>
      <c r="H27" s="5"/>
      <c r="J27" s="151" t="s">
        <v>239</v>
      </c>
      <c r="K27" s="10"/>
      <c r="L27" s="21">
        <f>IF(L26&gt;0,1,0)</f>
        <v>0</v>
      </c>
      <c r="M27" t="s">
        <v>242</v>
      </c>
      <c r="P27" s="5"/>
      <c r="R27" s="185" t="s">
        <v>379</v>
      </c>
      <c r="S27" s="181"/>
      <c r="X27" s="5"/>
      <c r="Z27" s="22" t="s">
        <v>392</v>
      </c>
      <c r="AA27" s="19"/>
      <c r="AB27" s="113" t="b">
        <v>0</v>
      </c>
      <c r="AF27" s="5"/>
      <c r="AH27" s="147" t="s">
        <v>406</v>
      </c>
      <c r="AI27" s="13"/>
      <c r="AJ27" s="192"/>
      <c r="AK27" t="s">
        <v>409</v>
      </c>
      <c r="AN27" s="5"/>
      <c r="AP27" s="233" t="s">
        <v>440</v>
      </c>
      <c r="AQ27" s="237">
        <f>'Toma de notas 60598'!G19</f>
        <v>0</v>
      </c>
      <c r="AR27" s="237">
        <f>'Toma de notas 60598'!H19</f>
        <v>0</v>
      </c>
      <c r="AS27" s="237">
        <f>'Toma de notas 60598'!I19</f>
        <v>0</v>
      </c>
      <c r="AT27" s="237">
        <f>'Toma de notas 60598'!J19</f>
        <v>0</v>
      </c>
      <c r="AU27" s="237">
        <f>'Toma de notas 60598'!K19</f>
        <v>0</v>
      </c>
      <c r="AV27" s="237">
        <f>'Toma de notas 60598'!L19</f>
        <v>0</v>
      </c>
      <c r="AW27" s="237">
        <f>'Toma de notas 60598'!M19</f>
        <v>0</v>
      </c>
      <c r="AX27" s="237">
        <f>'Toma de notas 60598'!N19</f>
        <v>0</v>
      </c>
      <c r="BA27" s="5"/>
      <c r="BC27" s="163" t="s">
        <v>1079</v>
      </c>
      <c r="BD27" s="34"/>
      <c r="BE27" s="255" t="b">
        <v>0</v>
      </c>
      <c r="BF27" s="255" t="b">
        <v>0</v>
      </c>
      <c r="BG27" s="255" t="b">
        <v>1</v>
      </c>
      <c r="BH27" s="256" t="b">
        <f t="shared" si="8"/>
        <v>1</v>
      </c>
      <c r="BJ27" s="5"/>
      <c r="BL27" s="148"/>
      <c r="BS27" s="5"/>
      <c r="BU27" s="270" t="s">
        <v>537</v>
      </c>
      <c r="BV27" s="2"/>
      <c r="BW27" s="140" t="b">
        <f>IF(BW23=TRUE,FALSE,IF(OR(BW25=1,NOT(BU125)),TRUE,FALSE))</f>
        <v>1</v>
      </c>
      <c r="CB27" s="5"/>
      <c r="CD27" s="322" t="s">
        <v>673</v>
      </c>
      <c r="CE27" s="35"/>
      <c r="CF27" s="21">
        <f>COUNTIF(CF26:CH26,"VERDADERO")</f>
        <v>0</v>
      </c>
      <c r="CQ27" s="5"/>
    </row>
    <row r="28" spans="2:95">
      <c r="B28" s="148"/>
      <c r="H28" s="5"/>
      <c r="J28" s="148"/>
      <c r="P28" s="5"/>
      <c r="R28" s="24" t="s">
        <v>1036</v>
      </c>
      <c r="S28" s="182"/>
      <c r="T28" s="180" t="b">
        <v>1</v>
      </c>
      <c r="X28" s="5"/>
      <c r="Z28" s="22" t="s">
        <v>265</v>
      </c>
      <c r="AA28" s="19"/>
      <c r="AB28" s="21">
        <f>IF('Toma de notas 60598'!F610=0,1,0)</f>
        <v>1</v>
      </c>
      <c r="AC28" t="s">
        <v>246</v>
      </c>
      <c r="AF28" s="5"/>
      <c r="AH28" s="148"/>
      <c r="AN28" s="5"/>
      <c r="AP28" s="233"/>
      <c r="AQ28" s="237"/>
      <c r="AR28" s="237"/>
      <c r="AS28" s="237"/>
      <c r="AT28" s="237"/>
      <c r="AU28" s="237"/>
      <c r="AV28" s="237"/>
      <c r="AW28" s="237"/>
      <c r="AX28" s="237"/>
      <c r="BA28" s="5"/>
      <c r="BC28" s="163" t="s">
        <v>1075</v>
      </c>
      <c r="BD28" s="34"/>
      <c r="BE28" s="255" t="b">
        <v>0</v>
      </c>
      <c r="BF28" s="255" t="b">
        <v>0</v>
      </c>
      <c r="BG28" s="255" t="b">
        <v>0</v>
      </c>
      <c r="BH28" s="256" t="b">
        <f t="shared" si="8"/>
        <v>0</v>
      </c>
      <c r="BJ28" s="5"/>
      <c r="BL28" s="169" t="s">
        <v>516</v>
      </c>
      <c r="BM28" s="61"/>
      <c r="BN28" s="113" t="b">
        <f>IF(BN20=TRUE,FALSE,IF(AND(BN22=TRUE,BN23=TRUE),FALSE,IF(BN25=1,TRUE,FALSE)))</f>
        <v>1</v>
      </c>
      <c r="BS28" s="5"/>
      <c r="BU28" s="493"/>
      <c r="BV28" s="397"/>
      <c r="BW28" s="397"/>
      <c r="BX28" s="397"/>
      <c r="BY28" s="494" t="s">
        <v>530</v>
      </c>
      <c r="BZ28" s="494" t="s">
        <v>914</v>
      </c>
      <c r="CA28" s="494"/>
      <c r="CB28" s="495"/>
      <c r="CD28" s="322" t="s">
        <v>674</v>
      </c>
      <c r="CE28" s="35"/>
      <c r="CF28" s="21" cm="1">
        <f t="array" ref="CF28">_xlfn.IFS(CF26=TRUE,45,CG26=TRUE,52,CH26=TRUE,57,CI26=0,0)</f>
        <v>0</v>
      </c>
      <c r="CQ28" s="5"/>
    </row>
    <row r="29" spans="2:95">
      <c r="B29" s="147" t="s">
        <v>243</v>
      </c>
      <c r="C29" s="13"/>
      <c r="D29" s="113" t="b">
        <f>OR(D25,D27)</f>
        <v>1</v>
      </c>
      <c r="E29" t="s">
        <v>244</v>
      </c>
      <c r="H29" s="5"/>
      <c r="J29" s="151" t="s">
        <v>245</v>
      </c>
      <c r="K29" s="10"/>
      <c r="L29" s="21">
        <f>IF('Toma de notas 60598'!F26,0,1)</f>
        <v>0</v>
      </c>
      <c r="M29" t="s">
        <v>246</v>
      </c>
      <c r="P29" s="5"/>
      <c r="R29" s="186" t="s">
        <v>1035</v>
      </c>
      <c r="S29" s="183"/>
      <c r="T29" s="180" t="b">
        <v>0</v>
      </c>
      <c r="X29" s="5"/>
      <c r="Z29" s="22" t="s">
        <v>367</v>
      </c>
      <c r="AF29" s="5"/>
      <c r="AH29" s="147" t="s">
        <v>410</v>
      </c>
      <c r="AI29" s="13"/>
      <c r="AJ29" s="113" t="b">
        <f>OR(AJ23,AJ24,AJ25,AJ26,AJ27)</f>
        <v>0</v>
      </c>
      <c r="AN29" s="5"/>
      <c r="AP29" s="233" t="s">
        <v>441</v>
      </c>
      <c r="AQ29" s="237">
        <f>SQRT((AQ26/2)^2+(AQ27/2)^2)</f>
        <v>0</v>
      </c>
      <c r="AR29" s="237">
        <f t="shared" ref="AR29:AX29" si="9">SQRT((AR26/2)^2+(AR27/2)^2)</f>
        <v>0</v>
      </c>
      <c r="AS29" s="237">
        <f t="shared" si="9"/>
        <v>0</v>
      </c>
      <c r="AT29" s="237">
        <f t="shared" si="9"/>
        <v>0</v>
      </c>
      <c r="AU29" s="237">
        <f t="shared" si="9"/>
        <v>0</v>
      </c>
      <c r="AV29" s="237">
        <f t="shared" si="9"/>
        <v>0</v>
      </c>
      <c r="AW29" s="237">
        <f t="shared" si="9"/>
        <v>0</v>
      </c>
      <c r="AX29" s="237">
        <f t="shared" si="9"/>
        <v>0</v>
      </c>
      <c r="BA29" s="5"/>
      <c r="BC29" s="163" t="s">
        <v>501</v>
      </c>
      <c r="BD29" s="34"/>
      <c r="BE29" s="113" t="b">
        <v>0</v>
      </c>
      <c r="BF29" s="113" t="b">
        <v>0</v>
      </c>
      <c r="BG29" s="113" t="b">
        <v>0</v>
      </c>
      <c r="BH29" s="256" t="b">
        <f t="shared" si="8"/>
        <v>0</v>
      </c>
      <c r="BJ29" s="5"/>
      <c r="BL29" s="148"/>
      <c r="BS29" s="5"/>
      <c r="BU29" s="148"/>
      <c r="CB29" s="5"/>
      <c r="CD29" s="322" t="s">
        <v>675</v>
      </c>
      <c r="CE29" s="35"/>
      <c r="CF29" s="21">
        <f>0.5*1.225*'Toma de notas 60598'!G382*1.2*'Datos ensayos LUM.'!$CF$28^2</f>
        <v>0</v>
      </c>
      <c r="CG29" s="21">
        <f>0.5*1.225*'Toma de notas 60598'!H382*1.2*'Datos ensayos LUM.'!$CF$28^2</f>
        <v>0</v>
      </c>
      <c r="CH29" s="21">
        <f>0.5*1.225*'Toma de notas 60598'!I382*1.2*'Datos ensayos LUM.'!$CF$28^2</f>
        <v>0</v>
      </c>
      <c r="CI29" s="21">
        <f>0.5*1.225*'Toma de notas 60598'!J382*1.2*'Datos ensayos LUM.'!$CF$28^2</f>
        <v>0</v>
      </c>
      <c r="CJ29" s="21">
        <f>0.5*1.225*'Toma de notas 60598'!K382*1.2*'Datos ensayos LUM.'!$CF$28^2</f>
        <v>0</v>
      </c>
      <c r="CK29" s="21">
        <f>0.5*1.225*'Toma de notas 60598'!L382*1.2*'Datos ensayos LUM.'!$CF$28^2</f>
        <v>0</v>
      </c>
      <c r="CL29" s="21">
        <f>0.5*1.225*'Toma de notas 60598'!M382*1.2*'Datos ensayos LUM.'!$CF$28^2</f>
        <v>0</v>
      </c>
      <c r="CM29" s="21">
        <f>0.5*1.225*'Toma de notas 60598'!N382*1.2*'Datos ensayos LUM.'!$CF$28^2</f>
        <v>0</v>
      </c>
      <c r="CQ29" s="5"/>
    </row>
    <row r="30" spans="2:95">
      <c r="B30" s="148"/>
      <c r="H30" s="5"/>
      <c r="J30" s="148"/>
      <c r="P30" s="5"/>
      <c r="R30" s="148"/>
      <c r="X30" s="5"/>
      <c r="Z30" s="156" t="b">
        <v>0</v>
      </c>
      <c r="AA30" s="113" t="b">
        <v>0</v>
      </c>
      <c r="AF30" s="5"/>
      <c r="AH30" s="148"/>
      <c r="AN30" s="5"/>
      <c r="AP30" s="233" t="s">
        <v>442</v>
      </c>
      <c r="AQ30" s="237">
        <f>SQRT(AQ25^2+AQ29^2)</f>
        <v>0</v>
      </c>
      <c r="AR30" s="237">
        <f t="shared" ref="AR30:AX30" si="10">SQRT(AR25^2+AR29^2)</f>
        <v>0</v>
      </c>
      <c r="AS30" s="237">
        <f t="shared" si="10"/>
        <v>0</v>
      </c>
      <c r="AT30" s="237">
        <f t="shared" si="10"/>
        <v>0</v>
      </c>
      <c r="AU30" s="237">
        <f t="shared" si="10"/>
        <v>0</v>
      </c>
      <c r="AV30" s="237">
        <f t="shared" si="10"/>
        <v>0</v>
      </c>
      <c r="AW30" s="237">
        <f t="shared" si="10"/>
        <v>0</v>
      </c>
      <c r="AX30" s="237">
        <f t="shared" si="10"/>
        <v>0</v>
      </c>
      <c r="BA30" s="5"/>
      <c r="BC30" s="163" t="s">
        <v>502</v>
      </c>
      <c r="BD30" s="34"/>
      <c r="BE30" s="113" t="b">
        <v>0</v>
      </c>
      <c r="BF30" s="113" t="b">
        <v>0</v>
      </c>
      <c r="BG30" s="113" t="b">
        <v>0</v>
      </c>
      <c r="BH30" s="256" t="b">
        <f t="shared" si="8"/>
        <v>0</v>
      </c>
      <c r="BJ30" s="5"/>
      <c r="BL30" s="148"/>
      <c r="BS30" s="5"/>
      <c r="BU30" s="270" t="s">
        <v>538</v>
      </c>
      <c r="BV30" s="87"/>
      <c r="BW30" s="271" t="b">
        <v>0</v>
      </c>
      <c r="CB30" s="5"/>
      <c r="CD30" s="148"/>
      <c r="CQ30" s="5"/>
    </row>
    <row r="31" spans="2:95" ht="15" thickBot="1">
      <c r="B31" s="148"/>
      <c r="H31" s="5"/>
      <c r="J31" s="151" t="s">
        <v>243</v>
      </c>
      <c r="K31" s="10"/>
      <c r="L31" s="113" t="b">
        <f>IF(L20=TRUE,FALSE,OR(L27,L29))</f>
        <v>0</v>
      </c>
      <c r="M31" t="s">
        <v>244</v>
      </c>
      <c r="P31" s="5"/>
      <c r="R31" s="24" t="s">
        <v>381</v>
      </c>
      <c r="S31" s="18"/>
      <c r="T31" s="113" t="b">
        <f>OR(T28,T29)</f>
        <v>1</v>
      </c>
      <c r="X31" s="5"/>
      <c r="Z31" s="170" t="s">
        <v>395</v>
      </c>
      <c r="AA31" s="9"/>
      <c r="AB31" s="112" t="b">
        <f>AND(Z30,AA30)</f>
        <v>0</v>
      </c>
      <c r="AF31" s="5"/>
      <c r="AH31" s="187" t="s">
        <v>407</v>
      </c>
      <c r="AN31" s="5"/>
      <c r="AP31" s="148"/>
      <c r="BA31" s="5"/>
      <c r="BC31" s="148"/>
      <c r="BJ31" s="5"/>
      <c r="BL31" s="148"/>
      <c r="BS31" s="5"/>
      <c r="BU31" s="270" t="s">
        <v>543</v>
      </c>
      <c r="BV31" s="86"/>
      <c r="BW31" s="113" t="b">
        <f>OR(BW20,BW30)</f>
        <v>0</v>
      </c>
      <c r="BX31" t="s">
        <v>536</v>
      </c>
      <c r="CB31" s="5"/>
      <c r="CD31" s="322" t="s">
        <v>506</v>
      </c>
      <c r="CE31" s="35"/>
      <c r="CF31" s="21">
        <f>IF('Toma de notas 60598'!F380=0,1,0)</f>
        <v>1</v>
      </c>
      <c r="CG31" t="s">
        <v>676</v>
      </c>
      <c r="CQ31" s="5"/>
    </row>
    <row r="32" spans="2:95">
      <c r="B32" s="148"/>
      <c r="H32" s="5"/>
      <c r="J32" s="148"/>
      <c r="P32" s="5"/>
      <c r="R32" s="148"/>
      <c r="X32" s="5"/>
      <c r="Z32" s="22" t="s">
        <v>393</v>
      </c>
      <c r="AA32" s="19"/>
      <c r="AB32" s="113" t="b">
        <f>IF(AB27=TRUE,FALSE,IF(OR(AB28=1,AB31=FALSE),TRUE,FALSE))</f>
        <v>1</v>
      </c>
      <c r="AF32" s="5"/>
      <c r="AH32" s="147" t="s">
        <v>1052</v>
      </c>
      <c r="AI32" s="13"/>
      <c r="AJ32" s="192" t="b">
        <f>AJ23</f>
        <v>0</v>
      </c>
      <c r="AK32" s="168"/>
      <c r="AN32" s="5"/>
      <c r="AP32" s="233" t="s">
        <v>443</v>
      </c>
      <c r="AQ32" s="21">
        <f>AQ30+20</f>
        <v>20</v>
      </c>
      <c r="AR32" s="21">
        <f t="shared" ref="AR32:AX32" si="11">AR30+20</f>
        <v>20</v>
      </c>
      <c r="AS32" s="21">
        <f t="shared" si="11"/>
        <v>20</v>
      </c>
      <c r="AT32" s="21">
        <f t="shared" si="11"/>
        <v>20</v>
      </c>
      <c r="AU32" s="21">
        <f t="shared" si="11"/>
        <v>20</v>
      </c>
      <c r="AV32" s="21">
        <f t="shared" si="11"/>
        <v>20</v>
      </c>
      <c r="AW32" s="21">
        <f t="shared" si="11"/>
        <v>20</v>
      </c>
      <c r="AX32" s="21">
        <f t="shared" si="11"/>
        <v>20</v>
      </c>
      <c r="AY32" t="s">
        <v>446</v>
      </c>
      <c r="BA32" s="5"/>
      <c r="BC32" s="163" t="s">
        <v>500</v>
      </c>
      <c r="BD32" s="34"/>
      <c r="BE32" s="113" t="b">
        <f>OR(BE24,BE25,BE26,BE27,BE28,BE29,BE30)</f>
        <v>1</v>
      </c>
      <c r="BF32" s="113" t="b">
        <f t="shared" ref="BF32:BH32" si="12">OR(BF24,BF25,BF26,BF27,BF28,BF29,BF30)</f>
        <v>1</v>
      </c>
      <c r="BG32" s="113" t="b">
        <f t="shared" si="12"/>
        <v>1</v>
      </c>
      <c r="BH32" s="113" t="b">
        <f t="shared" si="12"/>
        <v>1</v>
      </c>
      <c r="BJ32" s="5"/>
      <c r="BL32" s="148"/>
      <c r="BS32" s="5"/>
      <c r="BU32" s="148"/>
      <c r="CB32" s="5"/>
      <c r="CD32" s="148"/>
      <c r="CK32" s="326"/>
      <c r="CL32" s="327"/>
      <c r="CM32" s="327"/>
      <c r="CN32" s="327"/>
      <c r="CO32" s="327"/>
      <c r="CP32" s="327"/>
      <c r="CQ32" s="328"/>
    </row>
    <row r="33" spans="2:95" ht="16.2" thickBot="1">
      <c r="B33" s="149"/>
      <c r="C33" s="7"/>
      <c r="D33" s="7"/>
      <c r="E33" s="7"/>
      <c r="F33" s="7"/>
      <c r="G33" s="7"/>
      <c r="H33" s="1"/>
      <c r="J33" s="149"/>
      <c r="K33" s="7"/>
      <c r="L33" s="7"/>
      <c r="M33" s="7"/>
      <c r="N33" s="7"/>
      <c r="O33" s="7"/>
      <c r="P33" s="1"/>
      <c r="R33" s="148"/>
      <c r="X33" s="5"/>
      <c r="Z33" s="148"/>
      <c r="AF33" s="5"/>
      <c r="AH33" s="147" t="s">
        <v>1053</v>
      </c>
      <c r="AI33" s="13" t="s">
        <v>1051</v>
      </c>
      <c r="AJ33" s="192" t="b">
        <f>AJ24</f>
        <v>0</v>
      </c>
      <c r="AK33" s="168"/>
      <c r="AN33" s="5"/>
      <c r="AP33" s="234" t="s">
        <v>448</v>
      </c>
      <c r="AQ33" s="203" t="str" cm="1">
        <f t="array" ref="AQ33">IF(AQ32=20,"N/A",_xlfn.IFS($AX$22&lt;AQ32,"Cab. Regadera",$AW$22&lt;AQ32,$AW$22,$AV$22&lt;=AQ32,$AV$22,$AU$22&lt;=AQ32,$AU$22,$AT$22&lt;=AQ32,$AT$22,$AS$22&lt;=AQ32,$AS$22,$AR$22&lt;=AQ32,$AR$22))</f>
        <v>N/A</v>
      </c>
      <c r="AR33" s="203" t="str" cm="1">
        <f t="array" ref="AR33">IF(AR32=20,"N/A",_xlfn.IFS($AX$22&lt;AR32,"Cab. Regadera",$AW$22&lt;AR32,$AW$22,$AV$22&lt;=AR32,$AV$22,$AU$22&lt;=AR32,$AU$22,$AT$22&lt;=AR32,$AT$22,$AS$22&lt;=AR32,$AS$22,$AR$22&lt;=AR32,$AR$22))</f>
        <v>N/A</v>
      </c>
      <c r="AS33" s="203" t="str" cm="1">
        <f t="array" ref="AS33">IF(AS32=20,"N/A",_xlfn.IFS($AX$22&lt;AS32,"Cab. Regadera",$AW$22&lt;AS32,$AW$22,$AV$22&lt;=AS32,$AV$22,$AU$22&lt;=AS32,$AU$22,$AT$22&lt;=AS32,$AT$22,$AS$22&lt;=AS32,$AS$22,$AR$22&lt;=AS32,$AR$22))</f>
        <v>N/A</v>
      </c>
      <c r="AT33" s="203" t="str" cm="1">
        <f t="array" ref="AT33">IF(AT32=20,"N/A",_xlfn.IFS($AX$22&lt;AT32,"Cab. Regadera",$AW$22&lt;AT32,$AW$22,$AV$22&lt;=AT32,$AV$22,$AU$22&lt;=AT32,$AU$22,$AT$22&lt;=AT32,$AT$22,$AS$22&lt;=AT32,$AS$22,$AR$22&lt;=AT32,$AR$22))</f>
        <v>N/A</v>
      </c>
      <c r="AU33" s="203" t="str" cm="1">
        <f t="array" ref="AU33">IF(AU32=20,"N/A",_xlfn.IFS($AX$22&lt;AU32,"Cab. Regadera",$AW$22&lt;AU32,$AW$22,$AV$22&lt;=AU32,$AV$22,$AU$22&lt;=AU32,$AU$22,$AT$22&lt;=AU32,$AT$22,$AS$22&lt;=AU32,$AS$22,$AR$22&lt;=AU32,$AR$22))</f>
        <v>N/A</v>
      </c>
      <c r="AV33" s="203" t="str" cm="1">
        <f t="array" ref="AV33">IF(AV32=20,"N/A",_xlfn.IFS($AX$22&lt;AV32,"Cab. Regadera",$AW$22&lt;AV32,$AW$22,$AV$22&lt;=AV32,$AV$22,$AU$22&lt;=AV32,$AU$22,$AT$22&lt;=AV32,$AT$22,$AS$22&lt;=AV32,$AS$22,$AR$22&lt;=AV32,$AR$22))</f>
        <v>N/A</v>
      </c>
      <c r="AW33" s="203" t="str" cm="1">
        <f t="array" ref="AW33">IF(AW32=20,"N/A",_xlfn.IFS($AX$22&lt;AW32,"Cab. Regadera",$AW$22&lt;AW32,$AW$22,$AV$22&lt;=AW32,$AV$22,$AU$22&lt;=AW32,$AU$22,$AT$22&lt;=AW32,$AT$22,$AS$22&lt;=AW32,$AS$22,$AR$22&lt;=AW32,$AR$22))</f>
        <v>N/A</v>
      </c>
      <c r="AX33" s="203" t="str" cm="1">
        <f t="array" ref="AX33">IF(AX32=20,"N/A",_xlfn.IFS($AX$22&lt;AX32,"Cab. Regadera",$AW$22&lt;AX32,$AW$22,$AV$22&lt;=AX32,$AV$22,$AU$22&lt;=AX32,$AU$22,$AT$22&lt;=AX32,$AT$22,$AS$22&lt;=AX32,$AS$22,$AR$22&lt;=AX32,$AR$22))</f>
        <v>N/A</v>
      </c>
      <c r="AY33" s="235" t="s">
        <v>447</v>
      </c>
      <c r="BA33" s="5"/>
      <c r="BC33" s="148"/>
      <c r="BJ33" s="5"/>
      <c r="BL33" s="148"/>
      <c r="BS33" s="5"/>
      <c r="BU33" s="155" t="s">
        <v>540</v>
      </c>
      <c r="BV33" s="86"/>
      <c r="BW33" s="21">
        <f>IF('Toma de notas 60598'!F910=0,1,0)</f>
        <v>1</v>
      </c>
      <c r="BX33" t="s">
        <v>528</v>
      </c>
      <c r="CB33" s="5"/>
      <c r="CD33" s="322" t="s">
        <v>677</v>
      </c>
      <c r="CE33" s="35"/>
      <c r="CF33" s="113" t="b">
        <f>IF(CF23=TRUE,FALSE,IF(OR(CF31=1,CF27&lt;&gt;1),TRUE,FALSE))</f>
        <v>0</v>
      </c>
      <c r="CK33" s="144" t="s">
        <v>698</v>
      </c>
      <c r="CL33" s="2"/>
      <c r="CM33" s="2"/>
      <c r="CN33" s="2"/>
      <c r="CO33" s="2"/>
      <c r="CP33" s="2"/>
      <c r="CQ33" s="323"/>
    </row>
    <row r="34" spans="2:95">
      <c r="R34" s="24" t="s">
        <v>243</v>
      </c>
      <c r="S34" s="18"/>
      <c r="T34" s="113" t="b">
        <f>IF(T22=TRUE,FALSE,IF(OR(T24=1,T31=FALSE),TRUE,FALSE))</f>
        <v>1</v>
      </c>
      <c r="X34" s="5"/>
      <c r="Z34" s="148"/>
      <c r="AF34" s="5"/>
      <c r="AH34" s="147" t="s">
        <v>1054</v>
      </c>
      <c r="AI34" s="13" t="s">
        <v>1050</v>
      </c>
      <c r="AJ34" s="113" t="b">
        <v>0</v>
      </c>
      <c r="AK34" s="168"/>
      <c r="AN34" s="5"/>
      <c r="AP34" s="148"/>
      <c r="BA34" s="5"/>
      <c r="BC34" s="163" t="s">
        <v>503</v>
      </c>
      <c r="BD34" s="34"/>
      <c r="BE34" s="113" t="b">
        <f>AND(G6,D8=1)</f>
        <v>0</v>
      </c>
      <c r="BF34" t="s">
        <v>504</v>
      </c>
      <c r="BJ34" s="5"/>
      <c r="BL34" s="148"/>
      <c r="BS34" s="5"/>
      <c r="BU34" s="148"/>
      <c r="CB34" s="5"/>
      <c r="CD34" s="148"/>
      <c r="CK34" s="187"/>
      <c r="CL34" s="2"/>
      <c r="CM34" s="2"/>
      <c r="CN34" s="2"/>
      <c r="CO34" s="2"/>
      <c r="CP34" s="2"/>
      <c r="CQ34" s="323"/>
    </row>
    <row r="35" spans="2:95" ht="15" thickBot="1">
      <c r="R35" s="148"/>
      <c r="X35" s="5"/>
      <c r="Z35" s="148"/>
      <c r="AF35" s="5"/>
      <c r="AH35" s="147" t="s">
        <v>1055</v>
      </c>
      <c r="AI35" s="13"/>
      <c r="AJ35" s="113" t="b">
        <v>0</v>
      </c>
      <c r="AK35" s="168"/>
      <c r="AN35" s="5"/>
      <c r="AP35" s="147" t="s">
        <v>449</v>
      </c>
      <c r="AQ35" s="13"/>
      <c r="AR35" s="112" t="b">
        <f>OR(E9,E10)</f>
        <v>0</v>
      </c>
      <c r="AT35" s="13" t="s">
        <v>469</v>
      </c>
      <c r="AU35" s="13"/>
      <c r="AV35" s="113" t="b">
        <f>IF(COUNTIF(AQ33:AX33,"Cab. Regadera")&gt;0,TRUE,FALSE)</f>
        <v>0</v>
      </c>
      <c r="BA35" s="5"/>
      <c r="BC35" s="148"/>
      <c r="BJ35" s="5"/>
      <c r="BL35" s="149"/>
      <c r="BM35" s="7"/>
      <c r="BN35" s="7"/>
      <c r="BO35" s="7"/>
      <c r="BP35" s="7"/>
      <c r="BQ35" s="7"/>
      <c r="BR35" s="7"/>
      <c r="BS35" s="1"/>
      <c r="BU35" s="155" t="s">
        <v>541</v>
      </c>
      <c r="BV35" s="86"/>
      <c r="BW35" s="86"/>
      <c r="CB35" s="5"/>
      <c r="CD35" s="148"/>
      <c r="CK35" s="320" t="s">
        <v>666</v>
      </c>
      <c r="CL35" s="321"/>
      <c r="CM35" s="140" t="b">
        <f>H6</f>
        <v>0</v>
      </c>
      <c r="CN35" s="2"/>
      <c r="CO35" s="2"/>
      <c r="CP35" s="2"/>
      <c r="CQ35" s="323"/>
    </row>
    <row r="36" spans="2:95" ht="15.6">
      <c r="B36" s="141" t="s">
        <v>841</v>
      </c>
      <c r="C36" s="142"/>
      <c r="D36" s="142"/>
      <c r="E36" s="142"/>
      <c r="F36" s="142"/>
      <c r="G36" s="142"/>
      <c r="H36" s="143"/>
      <c r="J36" s="25" t="s">
        <v>268</v>
      </c>
      <c r="R36" s="148"/>
      <c r="X36" s="5"/>
      <c r="Z36" s="22" t="s">
        <v>394</v>
      </c>
      <c r="AA36" s="19"/>
      <c r="AB36" s="113" t="b">
        <f>OR(AB25,AB32)</f>
        <v>1</v>
      </c>
      <c r="AF36" s="5"/>
      <c r="AH36" s="147" t="s">
        <v>405</v>
      </c>
      <c r="AI36" s="13"/>
      <c r="AJ36" s="192"/>
      <c r="AK36" t="s">
        <v>409</v>
      </c>
      <c r="AN36" s="5"/>
      <c r="AP36" s="147" t="s">
        <v>479</v>
      </c>
      <c r="AQ36" s="13"/>
      <c r="AR36" s="113" t="b">
        <f>IF(COUNTIF(AQ25:AX27,"&gt;0")&gt;=3,TRUE,FALSE)</f>
        <v>0</v>
      </c>
      <c r="BA36" s="5"/>
      <c r="BC36" s="148"/>
      <c r="BJ36" s="5"/>
      <c r="BU36" s="148"/>
      <c r="BV36" s="86">
        <v>1</v>
      </c>
      <c r="BW36" s="113" t="b">
        <f>BU134</f>
        <v>0</v>
      </c>
      <c r="BX36" t="s">
        <v>959</v>
      </c>
      <c r="CB36" s="5"/>
      <c r="CD36" s="23" t="s">
        <v>679</v>
      </c>
      <c r="CE36" s="8"/>
      <c r="CF36" s="113" t="b">
        <v>0</v>
      </c>
      <c r="CK36" s="187"/>
      <c r="CL36" s="2"/>
      <c r="CM36" s="2"/>
      <c r="CN36" s="2"/>
      <c r="CO36" s="2"/>
      <c r="CP36" s="2"/>
      <c r="CQ36" s="323"/>
    </row>
    <row r="37" spans="2:95">
      <c r="B37" s="148"/>
      <c r="H37" s="5"/>
      <c r="R37" s="148"/>
      <c r="X37" s="5"/>
      <c r="Z37" s="22" t="s">
        <v>243</v>
      </c>
      <c r="AA37" s="19"/>
      <c r="AB37" s="113" t="b">
        <f>IF(AB20=TRUE,FALSE,IF((AB36=TRUE),TRUE,FALSE))</f>
        <v>1</v>
      </c>
      <c r="AF37" s="5"/>
      <c r="AH37" s="147" t="s">
        <v>406</v>
      </c>
      <c r="AI37" s="13"/>
      <c r="AJ37" s="192"/>
      <c r="AK37" t="s">
        <v>409</v>
      </c>
      <c r="AN37" s="5"/>
      <c r="AP37" s="148"/>
      <c r="BA37" s="5"/>
      <c r="BC37" s="161" t="s">
        <v>16</v>
      </c>
      <c r="BD37" s="34"/>
      <c r="BE37" s="34"/>
      <c r="BJ37" s="5"/>
      <c r="BU37" s="148"/>
      <c r="BV37" s="86">
        <v>2</v>
      </c>
      <c r="BW37" s="113" t="b">
        <v>0</v>
      </c>
      <c r="CB37" s="5"/>
      <c r="CD37" s="23" t="s">
        <v>680</v>
      </c>
      <c r="CE37" s="8"/>
      <c r="CF37" s="113" t="b">
        <f>OR(CF36,NOT(CF20))</f>
        <v>1</v>
      </c>
      <c r="CG37" t="s">
        <v>668</v>
      </c>
      <c r="CK37" s="320" t="s">
        <v>667</v>
      </c>
      <c r="CL37" s="321"/>
      <c r="CM37" s="140" t="b">
        <v>0</v>
      </c>
      <c r="CN37" s="2"/>
      <c r="CO37" s="2"/>
      <c r="CP37" s="2"/>
      <c r="CQ37" s="323"/>
    </row>
    <row r="38" spans="2:95" ht="15" thickBot="1">
      <c r="B38" s="153" t="s">
        <v>264</v>
      </c>
      <c r="C38" s="18"/>
      <c r="D38" s="140" t="b">
        <v>0</v>
      </c>
      <c r="E38" t="s">
        <v>267</v>
      </c>
      <c r="H38" s="5"/>
      <c r="J38" s="21"/>
      <c r="K38" s="158" t="s">
        <v>264</v>
      </c>
      <c r="L38" s="159" t="s">
        <v>273</v>
      </c>
      <c r="R38" s="148"/>
      <c r="X38" s="5"/>
      <c r="Z38" s="148"/>
      <c r="AF38" s="5"/>
      <c r="AH38" s="148"/>
      <c r="AN38" s="5"/>
      <c r="AP38" s="148"/>
      <c r="BA38" s="5"/>
      <c r="BC38" s="163" t="s">
        <v>508</v>
      </c>
      <c r="BD38" s="34"/>
      <c r="BE38" s="113" t="b">
        <v>0</v>
      </c>
      <c r="BF38" t="s">
        <v>505</v>
      </c>
      <c r="BJ38" s="5"/>
      <c r="BU38" s="148"/>
      <c r="BV38" s="86">
        <v>3</v>
      </c>
      <c r="BW38" s="113" t="b">
        <v>0</v>
      </c>
      <c r="CB38" s="5"/>
      <c r="CD38" s="148"/>
      <c r="CK38" s="320" t="s">
        <v>678</v>
      </c>
      <c r="CL38" s="321"/>
      <c r="CM38" s="140" t="b">
        <f>OR(CM37,NOT(CM35))</f>
        <v>1</v>
      </c>
      <c r="CN38" s="2"/>
      <c r="CO38" s="2"/>
      <c r="CP38" s="2"/>
      <c r="CQ38" s="323"/>
    </row>
    <row r="39" spans="2:95" ht="16.2" thickBot="1">
      <c r="B39" s="148"/>
      <c r="H39" s="5"/>
      <c r="J39" s="138" t="s">
        <v>1163</v>
      </c>
      <c r="K39" s="139" t="b">
        <v>0</v>
      </c>
      <c r="L39" s="140" t="b">
        <f>OR(L40,L41,L42,L43,L44,L48,L50,L51,L52,L53,L54,L56,L58)</f>
        <v>1</v>
      </c>
      <c r="M39" t="s">
        <v>386</v>
      </c>
      <c r="R39" s="149"/>
      <c r="S39" s="7"/>
      <c r="T39" s="7"/>
      <c r="U39" s="7"/>
      <c r="V39" s="7"/>
      <c r="W39" s="7"/>
      <c r="X39" s="1"/>
      <c r="Z39" s="149"/>
      <c r="AA39" s="7"/>
      <c r="AB39" s="7"/>
      <c r="AC39" s="7"/>
      <c r="AD39" s="7"/>
      <c r="AE39" s="7"/>
      <c r="AF39" s="1"/>
      <c r="AH39" s="147" t="s">
        <v>424</v>
      </c>
      <c r="AI39" s="13"/>
      <c r="AJ39" s="113" t="b">
        <f>OR(AJ32,AJ33,AJ34,AJ35,AJ36,AJ37)</f>
        <v>0</v>
      </c>
      <c r="AN39" s="5"/>
      <c r="AP39" s="148" t="s">
        <v>450</v>
      </c>
      <c r="BA39" s="5"/>
      <c r="BC39" s="163" t="s">
        <v>509</v>
      </c>
      <c r="BD39" s="34"/>
      <c r="BE39" s="113" t="b">
        <f>OR(BE38,BE20)</f>
        <v>0</v>
      </c>
      <c r="BF39" t="s">
        <v>515</v>
      </c>
      <c r="BJ39" s="5"/>
      <c r="BL39" s="141" t="s">
        <v>1205</v>
      </c>
      <c r="BM39" s="142"/>
      <c r="BN39" s="142"/>
      <c r="BO39" s="142"/>
      <c r="BP39" s="142"/>
      <c r="BQ39" s="142"/>
      <c r="BR39" s="142"/>
      <c r="BS39" s="143"/>
      <c r="BU39" s="148"/>
      <c r="BV39" s="86">
        <v>4</v>
      </c>
      <c r="BW39" s="113" t="b">
        <v>0</v>
      </c>
      <c r="CB39" s="5"/>
      <c r="CD39" s="23" t="s">
        <v>506</v>
      </c>
      <c r="CE39" s="8"/>
      <c r="CF39" s="21">
        <f>IF('Toma de notas 60598'!F390=0,1,0)</f>
        <v>1</v>
      </c>
      <c r="CG39" t="s">
        <v>676</v>
      </c>
      <c r="CK39" s="187"/>
      <c r="CL39" s="2"/>
      <c r="CM39" s="2"/>
      <c r="CN39" s="2"/>
      <c r="CO39" s="2"/>
      <c r="CP39" s="2"/>
      <c r="CQ39" s="323"/>
    </row>
    <row r="40" spans="2:95">
      <c r="B40" s="24" t="s">
        <v>265</v>
      </c>
      <c r="C40" s="18"/>
      <c r="D40" s="21">
        <f>IF('Toma de notas 60598'!F45=0,1,0)</f>
        <v>1</v>
      </c>
      <c r="E40" t="s">
        <v>246</v>
      </c>
      <c r="H40" s="5"/>
      <c r="J40" s="138" t="s">
        <v>1131</v>
      </c>
      <c r="K40" s="139" t="b">
        <v>0</v>
      </c>
      <c r="L40" s="140" t="b">
        <f>D66</f>
        <v>1</v>
      </c>
      <c r="AH40" s="148"/>
      <c r="AN40" s="5"/>
      <c r="AP40" s="233"/>
      <c r="AQ40" s="204" t="s">
        <v>430</v>
      </c>
      <c r="AR40" s="204" t="s">
        <v>431</v>
      </c>
      <c r="AS40" s="204" t="s">
        <v>432</v>
      </c>
      <c r="AT40" s="204" t="s">
        <v>433</v>
      </c>
      <c r="AU40" s="204" t="s">
        <v>434</v>
      </c>
      <c r="AV40" s="204" t="s">
        <v>435</v>
      </c>
      <c r="AW40" s="204" t="s">
        <v>436</v>
      </c>
      <c r="AX40" s="204" t="s">
        <v>437</v>
      </c>
      <c r="BA40" s="5"/>
      <c r="BC40" s="163" t="s">
        <v>506</v>
      </c>
      <c r="BD40" s="34"/>
      <c r="BE40" s="21">
        <f>IF('Toma de notas 60598'!$F$773=0,1,0)</f>
        <v>1</v>
      </c>
      <c r="BF40" t="s">
        <v>528</v>
      </c>
      <c r="BJ40" s="5"/>
      <c r="BL40" s="148"/>
      <c r="BS40" s="5"/>
      <c r="BU40" s="148"/>
      <c r="BV40" s="86">
        <v>5</v>
      </c>
      <c r="BW40" s="113" t="b">
        <v>0</v>
      </c>
      <c r="CB40" s="5"/>
      <c r="CD40" s="148"/>
      <c r="CK40" s="322" t="s">
        <v>506</v>
      </c>
      <c r="CL40" s="35"/>
      <c r="CM40" s="138">
        <f>IF('Toma de notas 60598'!F425=0,1,0)</f>
        <v>1</v>
      </c>
      <c r="CN40" s="2"/>
      <c r="CO40" s="2"/>
      <c r="CP40" s="2"/>
      <c r="CQ40" s="323"/>
    </row>
    <row r="41" spans="2:95" ht="15" thickBot="1">
      <c r="B41" s="148"/>
      <c r="H41" s="5"/>
      <c r="J41" s="138" t="s">
        <v>1164</v>
      </c>
      <c r="K41" s="139" t="b">
        <v>0</v>
      </c>
      <c r="L41" s="140" t="b">
        <f>L85</f>
        <v>1</v>
      </c>
      <c r="AH41" s="147" t="s">
        <v>411</v>
      </c>
      <c r="AI41" s="13"/>
      <c r="AJ41" s="113" t="b">
        <v>0</v>
      </c>
      <c r="AK41" t="s">
        <v>419</v>
      </c>
      <c r="AN41" s="5"/>
      <c r="AP41" s="234" t="s">
        <v>451</v>
      </c>
      <c r="AQ41" s="203" t="str">
        <f t="shared" ref="AQ41:AX41" si="13">IF($AR$35=TRUE,AQ33,"N/A")</f>
        <v>N/A</v>
      </c>
      <c r="AR41" s="203" t="str">
        <f t="shared" si="13"/>
        <v>N/A</v>
      </c>
      <c r="AS41" s="203" t="str">
        <f t="shared" si="13"/>
        <v>N/A</v>
      </c>
      <c r="AT41" s="203" t="str">
        <f t="shared" si="13"/>
        <v>N/A</v>
      </c>
      <c r="AU41" s="203" t="str">
        <f t="shared" si="13"/>
        <v>N/A</v>
      </c>
      <c r="AV41" s="203" t="str">
        <f t="shared" si="13"/>
        <v>N/A</v>
      </c>
      <c r="AW41" s="203" t="str">
        <f t="shared" si="13"/>
        <v>N/A</v>
      </c>
      <c r="AX41" s="203" t="str">
        <f t="shared" si="13"/>
        <v>N/A</v>
      </c>
      <c r="BA41" s="5"/>
      <c r="BC41" s="148"/>
      <c r="BJ41" s="5"/>
      <c r="BL41" s="378" t="s">
        <v>814</v>
      </c>
      <c r="BM41" s="379"/>
      <c r="BN41" s="140" t="b">
        <v>0</v>
      </c>
      <c r="BP41" s="380" t="s">
        <v>815</v>
      </c>
      <c r="BQ41" s="380"/>
      <c r="BR41" s="140" t="b">
        <f>OR(BN54,BN77)</f>
        <v>1</v>
      </c>
      <c r="BS41" s="5"/>
      <c r="BU41" s="155" t="s">
        <v>542</v>
      </c>
      <c r="BV41" s="86"/>
      <c r="BW41" s="140" t="b">
        <f>AND(BW36,BW37,BW38,BW39,BW40)</f>
        <v>0</v>
      </c>
      <c r="BX41" t="s">
        <v>545</v>
      </c>
      <c r="CB41" s="5"/>
      <c r="CD41" s="23" t="s">
        <v>681</v>
      </c>
      <c r="CE41" s="8"/>
      <c r="CF41" s="113" t="b">
        <f>IF(CF37=TRUE,FALSE,IF(CF39=1,TRUE,FALSE))</f>
        <v>0</v>
      </c>
      <c r="CK41" s="322" t="s">
        <v>702</v>
      </c>
      <c r="CL41" s="35"/>
      <c r="CM41" s="138">
        <f>IF(COUNTIF('Toma de notas 60598'!G427:N427,"&gt;0")=0,1,0)</f>
        <v>1</v>
      </c>
      <c r="CN41" t="s">
        <v>703</v>
      </c>
      <c r="CO41" s="2"/>
      <c r="CP41" s="2"/>
      <c r="CQ41" s="323"/>
    </row>
    <row r="42" spans="2:95" ht="15.6">
      <c r="B42" s="24" t="s">
        <v>243</v>
      </c>
      <c r="C42" s="18"/>
      <c r="D42" s="113" t="b">
        <f>IF(D38=TRUE,FALSE,IF(D40=1,TRUE,FALSE))</f>
        <v>1</v>
      </c>
      <c r="E42" t="s">
        <v>331</v>
      </c>
      <c r="H42" s="5"/>
      <c r="J42" s="138" t="s">
        <v>1137</v>
      </c>
      <c r="K42" s="139" t="b">
        <v>0</v>
      </c>
      <c r="L42" s="140" t="b">
        <f>D112</f>
        <v>0</v>
      </c>
      <c r="R42" s="229"/>
      <c r="Z42" s="141" t="s">
        <v>1179</v>
      </c>
      <c r="AA42" s="142"/>
      <c r="AB42" s="142"/>
      <c r="AC42" s="142"/>
      <c r="AD42" s="142"/>
      <c r="AE42" s="142"/>
      <c r="AF42" s="143"/>
      <c r="AH42" s="147" t="s">
        <v>412</v>
      </c>
      <c r="AI42" s="13"/>
      <c r="AJ42" s="21">
        <f>IF(AND('Toma de notas 60598'!$F$662=0,'Toma de notas 60598'!G661=0),1,0)</f>
        <v>1</v>
      </c>
      <c r="AK42" t="s">
        <v>425</v>
      </c>
      <c r="AN42" s="5"/>
      <c r="AO42" t="s">
        <v>470</v>
      </c>
      <c r="AP42" s="148"/>
      <c r="BA42" s="5"/>
      <c r="BC42" s="163" t="s">
        <v>507</v>
      </c>
      <c r="BD42" s="34"/>
      <c r="BE42" s="113" t="b">
        <f>IF(BE39=TRUE,FALSE,IF(OR(BE40=1,BE32=FALSE),TRUE,FALSE))</f>
        <v>1</v>
      </c>
      <c r="BJ42" s="5"/>
      <c r="BL42" s="148"/>
      <c r="BS42" s="5"/>
      <c r="BU42" s="148"/>
      <c r="CB42" s="5"/>
      <c r="CD42" s="148"/>
      <c r="CK42" s="148"/>
      <c r="CN42" s="2"/>
      <c r="CO42" s="2"/>
      <c r="CP42" s="2"/>
      <c r="CQ42" s="323"/>
    </row>
    <row r="43" spans="2:95">
      <c r="B43" s="148"/>
      <c r="H43" s="5"/>
      <c r="J43" s="138" t="s">
        <v>1138</v>
      </c>
      <c r="K43" s="139" t="b">
        <v>0</v>
      </c>
      <c r="L43" s="140" t="b">
        <f>L85</f>
        <v>1</v>
      </c>
      <c r="Z43" s="148"/>
      <c r="AF43" s="5"/>
      <c r="AH43" s="147" t="s">
        <v>420</v>
      </c>
      <c r="AI43" s="13"/>
      <c r="AJ43" s="113" t="b">
        <f>IF(AJ41=TRUE,FALSE,IF(AJ42=1,TRUE,FALSE))</f>
        <v>1</v>
      </c>
      <c r="AN43" s="5"/>
      <c r="AP43" s="148"/>
      <c r="BA43" s="5"/>
      <c r="BC43" s="148"/>
      <c r="BJ43" s="5"/>
      <c r="BL43" s="381" t="s">
        <v>1208</v>
      </c>
      <c r="BM43" s="364"/>
      <c r="BN43" s="364"/>
      <c r="BO43" s="364"/>
      <c r="BP43" s="364"/>
      <c r="BQ43" s="364"/>
      <c r="BR43" s="364"/>
      <c r="BS43" s="365"/>
      <c r="BU43" s="155" t="s">
        <v>544</v>
      </c>
      <c r="BV43" s="86"/>
      <c r="BW43" s="113" t="b">
        <f>IF(BW31=TRUE,FALSE,IF(OR(BW33=1,BW41=FALSE,NOT(BU145)),TRUE,FALSE))</f>
        <v>1</v>
      </c>
      <c r="CB43" s="5"/>
      <c r="CD43" s="148"/>
      <c r="CK43" s="322" t="s">
        <v>677</v>
      </c>
      <c r="CL43" s="35"/>
      <c r="CM43" s="140" t="b">
        <f>IF(CM38=TRUE,FALSE,IF(OR(CM40=1,CM41=1),TRUE,FALSE))</f>
        <v>0</v>
      </c>
      <c r="CN43" s="2"/>
      <c r="CO43" s="2"/>
      <c r="CP43" s="2"/>
      <c r="CQ43" s="323"/>
    </row>
    <row r="44" spans="2:95">
      <c r="B44" s="148"/>
      <c r="H44" s="5"/>
      <c r="J44" s="138" t="s">
        <v>1140</v>
      </c>
      <c r="K44" s="139" t="b">
        <v>0</v>
      </c>
      <c r="L44" s="140" t="b">
        <f>L154</f>
        <v>1</v>
      </c>
      <c r="Z44" s="190" t="s">
        <v>389</v>
      </c>
      <c r="AA44" s="8"/>
      <c r="AB44" s="140" t="b">
        <v>0</v>
      </c>
      <c r="AC44" t="s">
        <v>375</v>
      </c>
      <c r="AF44" s="5"/>
      <c r="AH44" s="148"/>
      <c r="AN44" s="5"/>
      <c r="AP44" s="148" t="s">
        <v>397</v>
      </c>
      <c r="BA44" s="5"/>
      <c r="BC44" s="148"/>
      <c r="BJ44" s="5"/>
      <c r="BL44" s="270" t="s">
        <v>816</v>
      </c>
      <c r="BM44" s="87"/>
      <c r="BN44" s="271" t="b">
        <v>0</v>
      </c>
      <c r="BS44" s="5"/>
      <c r="BU44" s="493"/>
      <c r="BV44" s="397"/>
      <c r="BW44" s="397"/>
      <c r="BX44" s="397"/>
      <c r="BY44" s="397"/>
      <c r="BZ44" s="397"/>
      <c r="CA44" s="397"/>
      <c r="CB44" s="501"/>
      <c r="CD44" s="24" t="s">
        <v>682</v>
      </c>
      <c r="CE44" s="18"/>
      <c r="CF44" s="113" t="b">
        <v>0</v>
      </c>
      <c r="CK44" s="187"/>
      <c r="CL44" s="2"/>
      <c r="CM44" s="2"/>
      <c r="CN44" s="2"/>
      <c r="CO44" s="2"/>
      <c r="CP44" s="2"/>
      <c r="CQ44" s="323"/>
    </row>
    <row r="45" spans="2:95">
      <c r="B45" s="148"/>
      <c r="H45" s="5"/>
      <c r="J45" s="21" t="s">
        <v>1141</v>
      </c>
      <c r="K45" s="174" t="b">
        <f>D140</f>
        <v>0</v>
      </c>
      <c r="L45" s="175" t="b">
        <f>D143</f>
        <v>1</v>
      </c>
      <c r="Z45" s="148"/>
      <c r="AF45" s="5"/>
      <c r="AH45" s="148"/>
      <c r="AN45" s="5"/>
      <c r="AP45" s="147" t="s">
        <v>1061</v>
      </c>
      <c r="AQ45" s="13"/>
      <c r="AR45" s="113" t="b">
        <f>OR(C9,C10)</f>
        <v>0</v>
      </c>
      <c r="AS45" t="s">
        <v>463</v>
      </c>
      <c r="BA45" s="5"/>
      <c r="BC45" s="161" t="s">
        <v>510</v>
      </c>
      <c r="BD45" s="34"/>
      <c r="BE45" s="34"/>
      <c r="BJ45" s="5"/>
      <c r="BL45" s="270" t="s">
        <v>817</v>
      </c>
      <c r="BM45" s="86"/>
      <c r="BN45" s="113" t="b">
        <f>OR(BN41,BN44)</f>
        <v>0</v>
      </c>
      <c r="BO45" t="s">
        <v>536</v>
      </c>
      <c r="BS45" s="5"/>
      <c r="BU45" s="148"/>
      <c r="CB45" s="5"/>
      <c r="CD45" s="24" t="s">
        <v>683</v>
      </c>
      <c r="CE45" s="18"/>
      <c r="CF45" s="113" t="b">
        <f>OR(CF44,NOT(CF20))</f>
        <v>1</v>
      </c>
      <c r="CG45" t="s">
        <v>668</v>
      </c>
      <c r="CK45" s="187"/>
      <c r="CL45" s="2"/>
      <c r="CM45" s="2"/>
      <c r="CN45" s="2"/>
      <c r="CO45" s="2"/>
      <c r="CP45" s="2"/>
      <c r="CQ45" s="323"/>
    </row>
    <row r="46" spans="2:95">
      <c r="B46" s="148"/>
      <c r="H46" s="5"/>
      <c r="J46" s="21" t="s">
        <v>1142</v>
      </c>
      <c r="K46" s="174" t="b">
        <f>D146</f>
        <v>0</v>
      </c>
      <c r="L46" s="175" t="b">
        <f>D149</f>
        <v>1</v>
      </c>
      <c r="Z46" s="23" t="s">
        <v>265</v>
      </c>
      <c r="AA46" s="8"/>
      <c r="AB46" s="21">
        <f>IF('Toma de notas 60598'!F625=0,1,0)</f>
        <v>1</v>
      </c>
      <c r="AC46" t="s">
        <v>246</v>
      </c>
      <c r="AF46" s="5"/>
      <c r="AH46" s="147" t="s">
        <v>413</v>
      </c>
      <c r="AI46" s="13"/>
      <c r="AJ46" s="113" t="b">
        <v>0</v>
      </c>
      <c r="AK46" t="s">
        <v>419</v>
      </c>
      <c r="AN46" s="5"/>
      <c r="AP46" s="147" t="s">
        <v>1062</v>
      </c>
      <c r="AQ46" s="13"/>
      <c r="AR46" s="113" t="b">
        <f>IF(AND(OR(E9,E10),AV35=TRUE),TRUE,FALSE)</f>
        <v>0</v>
      </c>
      <c r="AS46" t="s">
        <v>464</v>
      </c>
      <c r="BA46" s="5"/>
      <c r="BC46" s="163" t="s">
        <v>511</v>
      </c>
      <c r="BD46" s="34"/>
      <c r="BE46" s="113" t="b">
        <v>0</v>
      </c>
      <c r="BF46" t="s">
        <v>505</v>
      </c>
      <c r="BJ46" s="5"/>
      <c r="BL46" s="148"/>
      <c r="BS46" s="5"/>
      <c r="BU46" s="270" t="s">
        <v>549</v>
      </c>
      <c r="BV46" s="87"/>
      <c r="BW46" s="271" t="b">
        <v>0</v>
      </c>
      <c r="CB46" s="5"/>
      <c r="CD46" s="148"/>
      <c r="CK46" s="190" t="s">
        <v>679</v>
      </c>
      <c r="CL46" s="62"/>
      <c r="CM46" s="140" t="b">
        <v>0</v>
      </c>
      <c r="CN46" s="2"/>
      <c r="CO46" s="2"/>
      <c r="CP46" s="2"/>
      <c r="CQ46" s="323"/>
    </row>
    <row r="47" spans="2:95">
      <c r="B47" s="148"/>
      <c r="H47" s="5"/>
      <c r="J47" s="21" t="s">
        <v>1145</v>
      </c>
      <c r="K47" s="174" t="b">
        <f>L142</f>
        <v>0</v>
      </c>
      <c r="L47" s="175" t="b">
        <f>L151</f>
        <v>1</v>
      </c>
      <c r="Z47" s="148"/>
      <c r="AF47" s="5"/>
      <c r="AH47" s="147" t="s">
        <v>414</v>
      </c>
      <c r="AI47" s="13"/>
      <c r="AJ47" s="21">
        <f>IF(AND('Toma de notas 60598'!$F$674=0,'Toma de notas 60598'!G673=0),1,0)</f>
        <v>1</v>
      </c>
      <c r="AK47" t="s">
        <v>425</v>
      </c>
      <c r="AN47" s="5"/>
      <c r="AO47" t="s">
        <v>470</v>
      </c>
      <c r="AP47" s="147" t="s">
        <v>1063</v>
      </c>
      <c r="AQ47" s="13"/>
      <c r="AR47" s="113" t="b">
        <f>OR(E9,E10)</f>
        <v>0</v>
      </c>
      <c r="AS47" t="s">
        <v>465</v>
      </c>
      <c r="BA47" s="5"/>
      <c r="BC47" s="163" t="s">
        <v>509</v>
      </c>
      <c r="BD47" s="34"/>
      <c r="BE47" s="113" t="b">
        <f>OR(BE46,BE20)</f>
        <v>0</v>
      </c>
      <c r="BF47" t="s">
        <v>515</v>
      </c>
      <c r="BJ47" s="5"/>
      <c r="BL47" s="155" t="s">
        <v>818</v>
      </c>
      <c r="BM47" s="86"/>
      <c r="BN47" s="21">
        <f>IF('Toma de notas 60598'!F1005=0,1,0)</f>
        <v>1</v>
      </c>
      <c r="BO47" t="s">
        <v>528</v>
      </c>
      <c r="BS47" s="5"/>
      <c r="BU47" s="270" t="s">
        <v>550</v>
      </c>
      <c r="BV47" s="86"/>
      <c r="BW47" s="113" t="b">
        <f>OR(BW20,BW46)</f>
        <v>0</v>
      </c>
      <c r="BX47" t="s">
        <v>536</v>
      </c>
      <c r="CB47" s="5"/>
      <c r="CD47" s="24" t="s">
        <v>506</v>
      </c>
      <c r="CE47" s="18"/>
      <c r="CF47" s="21">
        <f>IF('Toma de notas 60598'!$F$396=0,1,0)</f>
        <v>1</v>
      </c>
      <c r="CG47" t="s">
        <v>676</v>
      </c>
      <c r="CK47" s="190" t="s">
        <v>680</v>
      </c>
      <c r="CL47" s="62"/>
      <c r="CM47" s="140" t="b">
        <f>OR(NOT(CM35),CM46)</f>
        <v>1</v>
      </c>
      <c r="CN47" s="2"/>
      <c r="CO47" s="2"/>
      <c r="CP47" s="2"/>
      <c r="CQ47" s="323"/>
    </row>
    <row r="48" spans="2:95" ht="15" thickBot="1">
      <c r="B48" s="149"/>
      <c r="C48" s="7"/>
      <c r="D48" s="7"/>
      <c r="E48" s="7"/>
      <c r="F48" s="7"/>
      <c r="G48" s="7"/>
      <c r="H48" s="1"/>
      <c r="J48" s="21" t="s">
        <v>1146</v>
      </c>
      <c r="K48" s="139" t="b">
        <v>0</v>
      </c>
      <c r="L48" s="140" t="b">
        <f>D171</f>
        <v>1</v>
      </c>
      <c r="Z48" s="148" t="s">
        <v>397</v>
      </c>
      <c r="AF48" s="5"/>
      <c r="AH48" s="147" t="s">
        <v>421</v>
      </c>
      <c r="AI48" s="13"/>
      <c r="AJ48" s="113" t="b">
        <f>IF(AJ46=TRUE,FALSE,IF(AJ47=1,TRUE,FALSE))</f>
        <v>1</v>
      </c>
      <c r="AN48" s="5"/>
      <c r="AP48" s="147" t="s">
        <v>1064</v>
      </c>
      <c r="AQ48" s="13"/>
      <c r="AR48" s="113" t="b">
        <f>OR(G9,G10)</f>
        <v>0</v>
      </c>
      <c r="AS48" t="s">
        <v>467</v>
      </c>
      <c r="BA48" s="5"/>
      <c r="BC48" s="163" t="s">
        <v>506</v>
      </c>
      <c r="BD48" s="34"/>
      <c r="BE48" s="21">
        <f>IF('Toma de notas 60598'!F799=0,1,0)</f>
        <v>1</v>
      </c>
      <c r="BF48" t="s">
        <v>528</v>
      </c>
      <c r="BJ48" s="5"/>
      <c r="BL48" s="155" t="s">
        <v>819</v>
      </c>
      <c r="BM48" s="86"/>
      <c r="BN48" s="113" t="b">
        <f>IF(BN45=TRUE,FALSE,IF(BN47=1,TRUE,FALSE))</f>
        <v>1</v>
      </c>
      <c r="BS48" s="5"/>
      <c r="BU48" s="148"/>
      <c r="CB48" s="5"/>
      <c r="CD48" s="148"/>
      <c r="CK48" s="187"/>
      <c r="CL48" s="2"/>
      <c r="CM48" s="2"/>
      <c r="CN48" s="2"/>
      <c r="CO48" s="2"/>
      <c r="CP48" s="2"/>
      <c r="CQ48" s="323"/>
    </row>
    <row r="49" spans="2:95">
      <c r="J49" s="21" t="s">
        <v>1147</v>
      </c>
      <c r="K49" s="174" t="b">
        <f>K48</f>
        <v>0</v>
      </c>
      <c r="L49" s="175" t="b">
        <f>L48</f>
        <v>1</v>
      </c>
      <c r="Z49" s="23" t="s">
        <v>1042</v>
      </c>
      <c r="AA49" s="8"/>
      <c r="AB49" s="113" t="b">
        <v>0</v>
      </c>
      <c r="AF49" s="5"/>
      <c r="AH49" s="148"/>
      <c r="AN49" s="5"/>
      <c r="AP49" s="147" t="s">
        <v>462</v>
      </c>
      <c r="AQ49" s="13"/>
      <c r="AR49" s="113" t="b">
        <f>OR(I9,I10)</f>
        <v>0</v>
      </c>
      <c r="AS49" t="s">
        <v>466</v>
      </c>
      <c r="BA49" s="5"/>
      <c r="BC49" s="148"/>
      <c r="BJ49" s="5"/>
      <c r="BL49" s="148"/>
      <c r="BS49" s="5"/>
      <c r="BU49" s="155" t="s">
        <v>546</v>
      </c>
      <c r="BV49" s="86"/>
      <c r="BW49" s="21">
        <f>IF('Toma de notas 60598'!$F$957=0,1,0)</f>
        <v>0</v>
      </c>
      <c r="BX49" t="s">
        <v>528</v>
      </c>
      <c r="CB49" s="5"/>
      <c r="CD49" s="24" t="s">
        <v>684</v>
      </c>
      <c r="CE49" s="18"/>
      <c r="CF49" s="113" t="b">
        <f>IF(CF45=TRUE,FALSE,IF(CF47=1,TRUE,FALSE))</f>
        <v>0</v>
      </c>
      <c r="CK49" s="190" t="s">
        <v>506</v>
      </c>
      <c r="CL49" s="62"/>
      <c r="CM49" s="138">
        <f>IF('Toma de notas 60598'!F432=0,1,0)</f>
        <v>1</v>
      </c>
      <c r="CN49" s="2"/>
      <c r="CO49" s="2"/>
      <c r="CP49" s="2"/>
      <c r="CQ49" s="323"/>
    </row>
    <row r="50" spans="2:95" ht="15" thickBot="1">
      <c r="J50" s="138" t="s">
        <v>1149</v>
      </c>
      <c r="K50" s="139" t="b">
        <v>0</v>
      </c>
      <c r="L50" s="140" t="b">
        <f>L171</f>
        <v>1</v>
      </c>
      <c r="Z50" s="23" t="s">
        <v>1096</v>
      </c>
      <c r="AA50" s="8"/>
      <c r="AB50" s="113" t="b">
        <v>0</v>
      </c>
      <c r="AF50" s="5"/>
      <c r="AH50" s="148"/>
      <c r="AN50" s="5"/>
      <c r="AP50" s="147" t="s">
        <v>1125</v>
      </c>
      <c r="AQ50" s="13"/>
      <c r="AR50" s="113" t="b">
        <f>K9</f>
        <v>0</v>
      </c>
      <c r="AS50" t="s">
        <v>468</v>
      </c>
      <c r="BA50" s="5"/>
      <c r="BC50" s="163" t="s">
        <v>512</v>
      </c>
      <c r="BD50" s="34"/>
      <c r="BE50" s="113" t="b">
        <f>IF(BE47=TRUE,FALSE,IF(OR(BE48=1,BF32=FALSE),TRUE,FALSE))</f>
        <v>1</v>
      </c>
      <c r="BJ50" s="5"/>
      <c r="BL50" s="155" t="s">
        <v>820</v>
      </c>
      <c r="BM50" s="86"/>
      <c r="BN50" s="21">
        <f>IF('Toma de notas 60598'!F1012=0,1,0)</f>
        <v>1</v>
      </c>
      <c r="BS50" s="5"/>
      <c r="BU50" s="148"/>
      <c r="CB50" s="5"/>
      <c r="CD50" s="148"/>
      <c r="CK50" s="187"/>
      <c r="CL50" s="2"/>
      <c r="CM50" s="2"/>
      <c r="CN50" s="2"/>
      <c r="CO50" s="2"/>
      <c r="CP50" s="2"/>
      <c r="CQ50" s="323"/>
    </row>
    <row r="51" spans="2:95" ht="15.6">
      <c r="B51" s="141" t="s">
        <v>1132</v>
      </c>
      <c r="C51" s="142"/>
      <c r="D51" s="142"/>
      <c r="E51" s="142"/>
      <c r="F51" s="142"/>
      <c r="G51" s="142"/>
      <c r="H51" s="143"/>
      <c r="J51" s="138" t="s">
        <v>1152</v>
      </c>
      <c r="K51" s="139" t="b">
        <v>0</v>
      </c>
      <c r="L51" s="140" t="b">
        <f>D198</f>
        <v>1</v>
      </c>
      <c r="Z51" s="23" t="s">
        <v>1043</v>
      </c>
      <c r="AA51" s="8"/>
      <c r="AB51" s="113" t="b">
        <v>0</v>
      </c>
      <c r="AF51" s="5"/>
      <c r="AH51" s="147" t="s">
        <v>415</v>
      </c>
      <c r="AI51" s="13"/>
      <c r="AJ51" s="113" t="b">
        <v>0</v>
      </c>
      <c r="AK51" t="s">
        <v>419</v>
      </c>
      <c r="AN51" s="5"/>
      <c r="AP51" s="148"/>
      <c r="BA51" s="5"/>
      <c r="BC51" s="148"/>
      <c r="BJ51" s="5"/>
      <c r="BL51" s="155" t="s">
        <v>821</v>
      </c>
      <c r="BM51" s="86"/>
      <c r="BN51" s="113" t="b">
        <f>IF(BN45=TRUE,FALSE,IF(BN50=1,TRUE,FALSE))</f>
        <v>1</v>
      </c>
      <c r="BS51" s="5"/>
      <c r="BU51" s="155" t="s">
        <v>547</v>
      </c>
      <c r="BV51" s="86"/>
      <c r="BW51" s="86"/>
      <c r="CB51" s="5"/>
      <c r="CD51" s="148"/>
      <c r="CK51" s="190" t="s">
        <v>681</v>
      </c>
      <c r="CL51" s="62"/>
      <c r="CM51" s="140" t="b">
        <f>IF(CM47=TRUE,FALSE,IF(CM49=1,TRUE,FALSE))</f>
        <v>0</v>
      </c>
      <c r="CN51" s="2"/>
      <c r="CO51" s="2"/>
      <c r="CP51" s="2"/>
      <c r="CQ51" s="323"/>
    </row>
    <row r="52" spans="2:95">
      <c r="B52" s="148"/>
      <c r="H52" s="5"/>
      <c r="J52" s="138" t="s">
        <v>1153</v>
      </c>
      <c r="K52" s="139" t="b">
        <v>0</v>
      </c>
      <c r="L52" s="140" t="b">
        <f>L192</f>
        <v>1</v>
      </c>
      <c r="Z52" s="23" t="s">
        <v>1097</v>
      </c>
      <c r="AA52" s="8"/>
      <c r="AB52" s="113" t="b">
        <v>0</v>
      </c>
      <c r="AF52" s="5"/>
      <c r="AH52" s="147" t="s">
        <v>416</v>
      </c>
      <c r="AI52" s="13"/>
      <c r="AJ52" s="21">
        <f>IF(AND('Toma de notas 60598'!$F$686=0,'Toma de notas 60598'!G685=0),1,0)</f>
        <v>1</v>
      </c>
      <c r="AK52" t="s">
        <v>425</v>
      </c>
      <c r="AN52" s="5"/>
      <c r="AO52" t="s">
        <v>470</v>
      </c>
      <c r="AP52" s="148"/>
      <c r="BA52" s="5"/>
      <c r="BC52" s="148"/>
      <c r="BJ52" s="5"/>
      <c r="BL52" s="148"/>
      <c r="BS52" s="5"/>
      <c r="BU52" s="148"/>
      <c r="BV52" s="86">
        <v>1</v>
      </c>
      <c r="BW52" s="113" t="b">
        <f>BU168</f>
        <v>0</v>
      </c>
      <c r="BX52" t="s">
        <v>959</v>
      </c>
      <c r="CB52" s="5"/>
      <c r="CD52" s="163" t="s">
        <v>685</v>
      </c>
      <c r="CE52" s="34"/>
      <c r="CF52" s="113" t="b">
        <v>0</v>
      </c>
      <c r="CK52" s="187"/>
      <c r="CL52" s="2"/>
      <c r="CM52" s="2"/>
      <c r="CN52" s="2"/>
      <c r="CO52" s="2"/>
      <c r="CP52" s="2"/>
      <c r="CQ52" s="323"/>
    </row>
    <row r="53" spans="2:95">
      <c r="B53" s="160" t="s">
        <v>274</v>
      </c>
      <c r="C53" s="56"/>
      <c r="D53" s="140" t="b">
        <f>K39</f>
        <v>0</v>
      </c>
      <c r="H53" s="5"/>
      <c r="J53" s="138" t="s">
        <v>1154</v>
      </c>
      <c r="K53" s="139" t="b">
        <v>0</v>
      </c>
      <c r="L53" s="140" t="b">
        <f>L213</f>
        <v>1</v>
      </c>
      <c r="Z53" s="23" t="s">
        <v>398</v>
      </c>
      <c r="AA53" s="8"/>
      <c r="AB53" s="112" t="b">
        <f>OR(AB49,AB50,AB51,AB52)</f>
        <v>0</v>
      </c>
      <c r="AC53" t="s">
        <v>399</v>
      </c>
      <c r="AF53" s="5"/>
      <c r="AH53" s="147" t="s">
        <v>422</v>
      </c>
      <c r="AI53" s="13"/>
      <c r="AJ53" s="113" t="b">
        <f>IF(AJ51=TRUE,FALSE,IF(AJ52=1,TRUE,FALSE))</f>
        <v>1</v>
      </c>
      <c r="AN53" s="5"/>
      <c r="AP53" s="145" t="s">
        <v>185</v>
      </c>
      <c r="AQ53" s="146"/>
      <c r="AR53" s="230"/>
      <c r="BA53" s="5"/>
      <c r="BC53" s="161" t="s">
        <v>513</v>
      </c>
      <c r="BD53" s="34"/>
      <c r="BE53" s="34"/>
      <c r="BJ53" s="5"/>
      <c r="BL53" s="187"/>
      <c r="BN53" s="166"/>
      <c r="BS53" s="5"/>
      <c r="BU53" s="148"/>
      <c r="BV53" s="86">
        <v>2</v>
      </c>
      <c r="BW53" s="113" t="b">
        <v>0</v>
      </c>
      <c r="BX53" s="113" t="b">
        <f>IF(AND('Toma de notas 60598'!G960&gt;=4-0.07,'Toma de notas 60598'!G960&lt;=4+0.07),TRUE,FALSE)</f>
        <v>0</v>
      </c>
      <c r="BY53" t="s">
        <v>869</v>
      </c>
      <c r="CB53" s="5"/>
      <c r="CD53" s="163" t="s">
        <v>686</v>
      </c>
      <c r="CE53" s="34"/>
      <c r="CF53" s="113" t="b">
        <f>OR(CF52,NOT(CF20))</f>
        <v>1</v>
      </c>
      <c r="CG53" t="s">
        <v>668</v>
      </c>
      <c r="CK53" s="187"/>
      <c r="CL53" s="2"/>
      <c r="CM53" s="2"/>
      <c r="CN53" s="2"/>
      <c r="CO53" s="2"/>
      <c r="CP53" s="2"/>
      <c r="CQ53" s="323"/>
    </row>
    <row r="54" spans="2:95">
      <c r="B54" s="160" t="s">
        <v>275</v>
      </c>
      <c r="C54" s="57"/>
      <c r="D54" s="140" t="b">
        <f>K40</f>
        <v>0</v>
      </c>
      <c r="H54" s="5"/>
      <c r="J54" s="138" t="s">
        <v>1157</v>
      </c>
      <c r="K54" s="139" t="b">
        <v>0</v>
      </c>
      <c r="L54" s="140" t="b">
        <f>D246</f>
        <v>1</v>
      </c>
      <c r="Z54" s="148"/>
      <c r="AF54" s="5"/>
      <c r="AH54" s="148"/>
      <c r="AN54" s="5"/>
      <c r="AP54" s="147" t="s">
        <v>471</v>
      </c>
      <c r="AQ54" s="13"/>
      <c r="AR54" s="113" t="b">
        <v>0</v>
      </c>
      <c r="AS54" t="s">
        <v>375</v>
      </c>
      <c r="BA54" s="5"/>
      <c r="BC54" s="163" t="s">
        <v>514</v>
      </c>
      <c r="BD54" s="34"/>
      <c r="BE54" s="113" t="b">
        <v>0</v>
      </c>
      <c r="BF54" t="s">
        <v>505</v>
      </c>
      <c r="BJ54" s="5"/>
      <c r="BL54" s="145" t="s">
        <v>1209</v>
      </c>
      <c r="BM54" s="146"/>
      <c r="BN54" s="113" t="b">
        <f>OR(BN48,BN51)</f>
        <v>1</v>
      </c>
      <c r="BO54" t="s">
        <v>822</v>
      </c>
      <c r="BS54" s="5"/>
      <c r="BU54" s="148"/>
      <c r="BV54" s="86">
        <v>3</v>
      </c>
      <c r="BW54" s="113" t="b">
        <v>0</v>
      </c>
      <c r="CB54" s="5"/>
      <c r="CD54" s="148"/>
      <c r="CK54" s="153" t="s">
        <v>682</v>
      </c>
      <c r="CL54" s="179"/>
      <c r="CM54" s="140" t="b">
        <v>0</v>
      </c>
      <c r="CN54" s="2"/>
      <c r="CO54" s="2"/>
      <c r="CP54" s="2"/>
      <c r="CQ54" s="323"/>
    </row>
    <row r="55" spans="2:95">
      <c r="B55" s="160" t="s">
        <v>276</v>
      </c>
      <c r="C55" s="57"/>
      <c r="D55" s="140" t="b">
        <f>OR(D53,D54)</f>
        <v>0</v>
      </c>
      <c r="E55" t="s">
        <v>277</v>
      </c>
      <c r="H55" s="5"/>
      <c r="J55" s="178" t="s">
        <v>1165</v>
      </c>
      <c r="K55" s="174"/>
      <c r="L55" s="175"/>
      <c r="Z55" s="148"/>
      <c r="AF55" s="5"/>
      <c r="AH55" s="148"/>
      <c r="AN55" s="5"/>
      <c r="AP55" s="147" t="s">
        <v>276</v>
      </c>
      <c r="AQ55" s="13"/>
      <c r="AR55" s="113" t="b">
        <f>OR(AR54,AR20)</f>
        <v>0</v>
      </c>
      <c r="AS55" t="s">
        <v>472</v>
      </c>
      <c r="BA55" s="5"/>
      <c r="BC55" s="163" t="s">
        <v>509</v>
      </c>
      <c r="BD55" s="34"/>
      <c r="BE55" s="113" t="b">
        <f>OR(BE54,BE20)</f>
        <v>0</v>
      </c>
      <c r="BF55" t="s">
        <v>515</v>
      </c>
      <c r="BJ55" s="5"/>
      <c r="BL55" s="148"/>
      <c r="BS55" s="5"/>
      <c r="BU55" s="148"/>
      <c r="BV55" s="86">
        <v>4</v>
      </c>
      <c r="BW55" s="113" t="b">
        <v>0</v>
      </c>
      <c r="CB55" s="5"/>
      <c r="CD55" s="163" t="s">
        <v>506</v>
      </c>
      <c r="CE55" s="34"/>
      <c r="CF55" s="21">
        <f>IF('Toma de notas 60598'!$F$402=0,1,0)</f>
        <v>1</v>
      </c>
      <c r="CG55" t="s">
        <v>676</v>
      </c>
      <c r="CK55" s="153" t="s">
        <v>683</v>
      </c>
      <c r="CL55" s="179"/>
      <c r="CM55" s="140" t="b">
        <f>OR(CM54,NOT(CM35))</f>
        <v>1</v>
      </c>
      <c r="CN55" s="2"/>
      <c r="CO55" s="2"/>
      <c r="CP55" s="2"/>
      <c r="CQ55" s="323"/>
    </row>
    <row r="56" spans="2:95">
      <c r="B56" s="148"/>
      <c r="H56" s="5"/>
      <c r="J56" s="138" t="s">
        <v>1159</v>
      </c>
      <c r="K56" s="139" t="b">
        <v>0</v>
      </c>
      <c r="L56" s="140" t="b">
        <f>L242</f>
        <v>1</v>
      </c>
      <c r="Z56" s="23" t="s">
        <v>243</v>
      </c>
      <c r="AA56" s="8"/>
      <c r="AB56" s="113" t="b">
        <f>IF(AB44=TRUE,FALSE,IF(OR(AB46=1,AB53=FALSE),TRUE,FALSE))</f>
        <v>1</v>
      </c>
      <c r="AF56" s="5"/>
      <c r="AH56" s="147" t="s">
        <v>417</v>
      </c>
      <c r="AI56" s="13"/>
      <c r="AJ56" s="113" t="b">
        <v>0</v>
      </c>
      <c r="AK56" t="s">
        <v>419</v>
      </c>
      <c r="AN56" s="5"/>
      <c r="AP56" s="148"/>
      <c r="BA56" s="5"/>
      <c r="BC56" s="163" t="s">
        <v>506</v>
      </c>
      <c r="BD56" s="34"/>
      <c r="BE56" s="21">
        <f>IF('Toma de notas 60598'!$F$824=0,1,0)</f>
        <v>1</v>
      </c>
      <c r="BF56" t="s">
        <v>528</v>
      </c>
      <c r="BJ56" s="5"/>
      <c r="BL56" s="148"/>
      <c r="BS56" s="5"/>
      <c r="BU56" s="148"/>
      <c r="BV56" s="86">
        <v>5</v>
      </c>
      <c r="BW56" s="113" t="b">
        <v>0</v>
      </c>
      <c r="CB56" s="5"/>
      <c r="CD56" s="148"/>
      <c r="CK56" s="187"/>
      <c r="CL56" s="2"/>
      <c r="CM56" s="2"/>
      <c r="CN56" s="2"/>
      <c r="CO56" s="2"/>
      <c r="CP56" s="2"/>
      <c r="CQ56" s="323"/>
    </row>
    <row r="57" spans="2:95">
      <c r="B57" s="155" t="s">
        <v>265</v>
      </c>
      <c r="C57" s="86"/>
      <c r="D57" s="21">
        <f>IF('Toma de notas 60598'!F59=0,1,0)</f>
        <v>1</v>
      </c>
      <c r="E57" t="s">
        <v>246</v>
      </c>
      <c r="H57" s="5"/>
      <c r="J57" s="178" t="s">
        <v>1166</v>
      </c>
      <c r="K57" s="174"/>
      <c r="L57" s="175"/>
      <c r="Z57" s="148"/>
      <c r="AF57" s="5"/>
      <c r="AH57" s="147" t="s">
        <v>418</v>
      </c>
      <c r="AI57" s="13"/>
      <c r="AJ57" s="21">
        <f>IF(AND('Toma de notas 60598'!$F$698=0,'Toma de notas 60598'!G697=0),1,0)</f>
        <v>1</v>
      </c>
      <c r="AK57" t="s">
        <v>425</v>
      </c>
      <c r="AN57" s="5"/>
      <c r="AP57" s="147" t="s">
        <v>473</v>
      </c>
      <c r="AQ57" s="13"/>
      <c r="AR57" s="21">
        <f>IF('Toma de notas 60598'!F723=0,1,0)</f>
        <v>1</v>
      </c>
      <c r="AS57" t="s">
        <v>425</v>
      </c>
      <c r="BA57" s="5"/>
      <c r="BC57" s="148"/>
      <c r="BJ57" s="5"/>
      <c r="BL57" s="148"/>
      <c r="BS57" s="5"/>
      <c r="BU57" s="155" t="s">
        <v>542</v>
      </c>
      <c r="BV57" s="86"/>
      <c r="BW57" s="140" t="b">
        <f>AND(BW52,BW53,BW54,BW55,BW56,BX53,BW58)</f>
        <v>0</v>
      </c>
      <c r="BX57" t="s">
        <v>545</v>
      </c>
      <c r="CB57" s="5"/>
      <c r="CD57" s="163" t="s">
        <v>687</v>
      </c>
      <c r="CE57" s="34"/>
      <c r="CF57" s="113" t="b">
        <f>IF(CF53=TRUE,FALSE,IF(CF55=1,TRUE,FALSE))</f>
        <v>0</v>
      </c>
      <c r="CK57" s="153" t="s">
        <v>506</v>
      </c>
      <c r="CL57" s="179"/>
      <c r="CM57" s="138">
        <f>IF('Toma de notas 60598'!$F$438=0,1,0)</f>
        <v>1</v>
      </c>
      <c r="CN57" s="2"/>
      <c r="CO57" s="2"/>
      <c r="CP57" s="2"/>
      <c r="CQ57" s="323"/>
    </row>
    <row r="58" spans="2:95">
      <c r="B58" s="148"/>
      <c r="H58" s="5"/>
      <c r="J58" s="138" t="s">
        <v>1161</v>
      </c>
      <c r="K58" s="139" t="b">
        <v>0</v>
      </c>
      <c r="L58" s="140" t="b">
        <f>D265</f>
        <v>1</v>
      </c>
      <c r="Z58" s="148"/>
      <c r="AF58" s="5"/>
      <c r="AH58" s="147" t="s">
        <v>423</v>
      </c>
      <c r="AI58" s="13"/>
      <c r="AJ58" s="113" t="b">
        <f>IF(AJ56=TRUE,FALSE,IF(AJ57=1,TRUE,FALSE))</f>
        <v>1</v>
      </c>
      <c r="AN58" s="5"/>
      <c r="AP58" s="147" t="s">
        <v>475</v>
      </c>
      <c r="AQ58" s="13"/>
      <c r="AR58" s="113" t="b">
        <f>IF(AR57=1,FALSE,TRUE)</f>
        <v>0</v>
      </c>
      <c r="AS58" t="s">
        <v>476</v>
      </c>
      <c r="BA58" s="5"/>
      <c r="BC58" s="163" t="s">
        <v>517</v>
      </c>
      <c r="BD58" s="34"/>
      <c r="BE58" s="113" t="b">
        <f>IF(BE55=TRUE,FALSE,IF(OR(BE56=1,BG32=FALSE),TRUE,FALSE))</f>
        <v>1</v>
      </c>
      <c r="BJ58" s="5"/>
      <c r="BL58" s="358" t="s">
        <v>1210</v>
      </c>
      <c r="BM58" s="363"/>
      <c r="BN58" s="363"/>
      <c r="BO58" s="363"/>
      <c r="BP58" s="363"/>
      <c r="BQ58" s="363"/>
      <c r="BR58" s="363"/>
      <c r="BS58" s="359"/>
      <c r="BU58" s="270" t="s">
        <v>874</v>
      </c>
      <c r="BV58" s="87"/>
      <c r="BW58" s="113" t="b">
        <f>IF(AND('Toma de notas 60598'!G964&lt;&gt;0,'Toma de notas 60598'!G965&lt;&gt;0,'Toma de notas 60598'!G966&lt;&gt;0),TRUE,FALSE)</f>
        <v>0</v>
      </c>
      <c r="BX58" t="s">
        <v>875</v>
      </c>
      <c r="CB58" s="5"/>
      <c r="CD58" s="148"/>
      <c r="CK58" s="187"/>
      <c r="CL58" s="2"/>
      <c r="CM58" s="2"/>
      <c r="CN58" s="2"/>
      <c r="CO58" s="2"/>
      <c r="CP58" s="2"/>
      <c r="CQ58" s="323"/>
    </row>
    <row r="59" spans="2:95">
      <c r="B59" s="155" t="s">
        <v>269</v>
      </c>
      <c r="C59" s="86"/>
      <c r="H59" s="5"/>
      <c r="J59" s="21" t="s">
        <v>1167</v>
      </c>
      <c r="K59" s="112"/>
      <c r="L59" s="113"/>
      <c r="Z59" s="148"/>
      <c r="AF59" s="5"/>
      <c r="AH59" s="148"/>
      <c r="AN59" s="5"/>
      <c r="AP59" s="147" t="s">
        <v>477</v>
      </c>
      <c r="AQ59" s="13"/>
      <c r="AR59" s="113" t="b">
        <f>IF(COUNTIF(B9:K10,"VERDADERO")&gt;0,TRUE,FALSE)</f>
        <v>0</v>
      </c>
      <c r="BA59" s="5"/>
      <c r="BC59" s="148"/>
      <c r="BJ59" s="5"/>
      <c r="BL59" s="169" t="s">
        <v>823</v>
      </c>
      <c r="BM59" s="61"/>
      <c r="BN59" s="271" t="b">
        <v>0</v>
      </c>
      <c r="BS59" s="5"/>
      <c r="BU59" s="148"/>
      <c r="CB59" s="5"/>
      <c r="CD59" s="148"/>
      <c r="CK59" s="153" t="s">
        <v>684</v>
      </c>
      <c r="CL59" s="179"/>
      <c r="CM59" s="140" t="b">
        <f>IF(CM55=TRUE,FALSE,IF(CM57=1,TRUE,FALSE))</f>
        <v>0</v>
      </c>
      <c r="CN59" s="2"/>
      <c r="CO59" s="2"/>
      <c r="CP59" s="2"/>
      <c r="CQ59" s="323"/>
    </row>
    <row r="60" spans="2:95">
      <c r="B60" s="156" t="b">
        <v>0</v>
      </c>
      <c r="C60" s="113" t="b">
        <v>0</v>
      </c>
      <c r="H60" s="5"/>
      <c r="Z60" s="148"/>
      <c r="AF60" s="5"/>
      <c r="AH60" s="148"/>
      <c r="AN60" s="5"/>
      <c r="AP60" s="147" t="s">
        <v>478</v>
      </c>
      <c r="AQ60" s="13"/>
      <c r="AR60" s="113" t="b">
        <f>IF(AR35=TRUE,IF(AR36=TRUE,TRUE,FALSE),TRUE)</f>
        <v>1</v>
      </c>
      <c r="AS60" t="s">
        <v>480</v>
      </c>
      <c r="BA60" s="5"/>
      <c r="BC60" s="148"/>
      <c r="BJ60" s="5"/>
      <c r="BL60" s="169" t="s">
        <v>824</v>
      </c>
      <c r="BM60" s="9"/>
      <c r="BN60" s="113" t="b">
        <f>OR(BN41,BN59)</f>
        <v>0</v>
      </c>
      <c r="BO60" t="s">
        <v>536</v>
      </c>
      <c r="BS60" s="5"/>
      <c r="BU60" s="155" t="s">
        <v>548</v>
      </c>
      <c r="BV60" s="86"/>
      <c r="BW60" s="113" t="b">
        <f>IF(BW47=TRUE,FALSE,IF(OR(BW49=1,BW57=FALSE),TRUE,FALSE))</f>
        <v>1</v>
      </c>
      <c r="CB60" s="5"/>
      <c r="CD60" s="322" t="s">
        <v>688</v>
      </c>
      <c r="CE60" s="35"/>
      <c r="CF60" s="140" t="b">
        <f>OR(CF33,CF41,CF49,CF57)</f>
        <v>0</v>
      </c>
      <c r="CK60" s="148"/>
      <c r="CN60" s="2"/>
      <c r="CO60" s="2"/>
      <c r="CP60" s="2"/>
      <c r="CQ60" s="323"/>
    </row>
    <row r="61" spans="2:95">
      <c r="B61" s="156" t="b">
        <v>0</v>
      </c>
      <c r="C61" s="113" t="b">
        <v>0</v>
      </c>
      <c r="H61" s="5"/>
      <c r="Z61" s="148"/>
      <c r="AF61" s="5"/>
      <c r="AH61" s="147" t="s">
        <v>426</v>
      </c>
      <c r="AI61" s="13"/>
      <c r="AJ61" s="113" t="b">
        <f>IF(AJ20=TRUE,FALSE,OR(AJ43,AJ48,AJ53,AJ58,NOT(AJ29),NOT(AJ39)))</f>
        <v>1</v>
      </c>
      <c r="AN61" s="5"/>
      <c r="AP61" s="148"/>
      <c r="BA61" s="5"/>
      <c r="BC61" s="161" t="s">
        <v>516</v>
      </c>
      <c r="BD61" s="162"/>
      <c r="BE61" s="113" t="b">
        <f>OR(BE42,BE50,BE58)</f>
        <v>1</v>
      </c>
      <c r="BJ61" s="5"/>
      <c r="BL61" s="148"/>
      <c r="BS61" s="5"/>
      <c r="BU61" s="148"/>
      <c r="CB61" s="5"/>
      <c r="CD61" s="148"/>
      <c r="CK61" s="148"/>
      <c r="CN61" s="2"/>
      <c r="CO61" s="2"/>
      <c r="CP61" s="2"/>
      <c r="CQ61" s="323"/>
    </row>
    <row r="62" spans="2:95">
      <c r="B62" s="156" t="b">
        <v>0</v>
      </c>
      <c r="C62" s="113" t="b">
        <v>0</v>
      </c>
      <c r="H62" s="5"/>
      <c r="Z62" s="148"/>
      <c r="AF62" s="5"/>
      <c r="AH62" s="148"/>
      <c r="AN62" s="5"/>
      <c r="AP62" s="147" t="s">
        <v>474</v>
      </c>
      <c r="AQ62" s="13"/>
      <c r="AR62" s="113" t="b">
        <f>IF(AR55=TRUE,FALSE,IF(OR(AR57=1,AR59=FALSE,AR60=FALSE),TRUE,FALSE))</f>
        <v>1</v>
      </c>
      <c r="BA62" s="5"/>
      <c r="BC62" s="148"/>
      <c r="BJ62" s="5"/>
      <c r="BL62" s="170" t="s">
        <v>818</v>
      </c>
      <c r="BM62" s="9"/>
      <c r="BN62" s="21">
        <f>IF('Toma de notas 60598'!$F$1026=0,1,0)</f>
        <v>1</v>
      </c>
      <c r="BO62" t="s">
        <v>528</v>
      </c>
      <c r="BS62" s="5"/>
      <c r="BU62" s="270" t="s">
        <v>552</v>
      </c>
      <c r="BV62" s="87"/>
      <c r="BW62" s="271" t="b">
        <v>0</v>
      </c>
      <c r="CB62" s="5"/>
      <c r="CD62" s="148"/>
      <c r="CK62" s="148"/>
      <c r="CN62" s="2"/>
      <c r="CO62" s="2"/>
      <c r="CP62" s="2"/>
      <c r="CQ62" s="323"/>
    </row>
    <row r="63" spans="2:95">
      <c r="B63" s="157" t="b">
        <v>0</v>
      </c>
      <c r="C63" s="154" t="b">
        <v>0</v>
      </c>
      <c r="D63" t="s">
        <v>271</v>
      </c>
      <c r="H63" s="5"/>
      <c r="Z63" s="148"/>
      <c r="AF63" s="5"/>
      <c r="AH63" s="148"/>
      <c r="AN63" s="5"/>
      <c r="AP63" s="148"/>
      <c r="BA63" s="5"/>
      <c r="BC63" s="148"/>
      <c r="BJ63" s="5"/>
      <c r="BL63" s="170" t="s">
        <v>819</v>
      </c>
      <c r="BM63" s="9"/>
      <c r="BN63" s="113" t="b">
        <f>IF(BN60=TRUE,FALSE,IF(BN62=1,TRUE,FALSE))</f>
        <v>1</v>
      </c>
      <c r="BS63" s="5"/>
      <c r="BU63" s="270" t="s">
        <v>553</v>
      </c>
      <c r="BV63" s="86"/>
      <c r="BW63" s="113" t="b">
        <f>OR(BW20,BW62)</f>
        <v>0</v>
      </c>
      <c r="CB63" s="5"/>
      <c r="CD63" s="148"/>
      <c r="CK63" s="331" t="s">
        <v>701</v>
      </c>
      <c r="CL63" s="330"/>
      <c r="CM63" s="140" t="b">
        <f>OR(CM43,CM51,CM59)</f>
        <v>0</v>
      </c>
      <c r="CN63" s="2"/>
      <c r="CO63" s="2"/>
      <c r="CP63" s="2"/>
      <c r="CQ63" s="323"/>
    </row>
    <row r="64" spans="2:95">
      <c r="B64" s="24" t="s">
        <v>272</v>
      </c>
      <c r="C64" s="18"/>
      <c r="D64" s="113" t="b">
        <f>OR(B60,B61,B62,B63,C60,C61,C62,C63)</f>
        <v>0</v>
      </c>
      <c r="E64" t="s">
        <v>270</v>
      </c>
      <c r="H64" s="5"/>
      <c r="Z64" s="148"/>
      <c r="AF64" s="5"/>
      <c r="AH64" s="148"/>
      <c r="AN64" s="5"/>
      <c r="AP64" s="148"/>
      <c r="BA64" s="5"/>
      <c r="BC64" s="148"/>
      <c r="BJ64" s="5"/>
      <c r="BL64" s="148"/>
      <c r="BS64" s="5"/>
      <c r="BU64" s="148"/>
      <c r="CB64" s="5"/>
      <c r="CD64" s="148"/>
      <c r="CK64" s="148"/>
      <c r="CN64" s="2"/>
      <c r="CQ64" s="5"/>
    </row>
    <row r="65" spans="2:95" ht="15" thickBot="1">
      <c r="B65" s="148"/>
      <c r="H65" s="5"/>
      <c r="Z65" s="149"/>
      <c r="AA65" s="7"/>
      <c r="AB65" s="7"/>
      <c r="AC65" s="7"/>
      <c r="AD65" s="7"/>
      <c r="AE65" s="7"/>
      <c r="AF65" s="1"/>
      <c r="AH65" s="148"/>
      <c r="AN65" s="5"/>
      <c r="AP65" s="145" t="s">
        <v>184</v>
      </c>
      <c r="AQ65" s="13"/>
      <c r="AR65" s="13"/>
      <c r="BA65" s="5"/>
      <c r="BC65" s="148"/>
      <c r="BJ65" s="5"/>
      <c r="BL65" s="148"/>
      <c r="BS65" s="5"/>
      <c r="BU65" s="155" t="s">
        <v>554</v>
      </c>
      <c r="BV65" s="86"/>
      <c r="BW65" s="21">
        <f>IF('Toma de notas 60598'!$F$987=0,1,0)</f>
        <v>1</v>
      </c>
      <c r="CB65" s="5"/>
      <c r="CD65" s="149"/>
      <c r="CE65" s="7"/>
      <c r="CF65" s="7"/>
      <c r="CG65" s="7"/>
      <c r="CH65" s="7"/>
      <c r="CI65" s="7"/>
      <c r="CJ65" s="7"/>
      <c r="CK65" s="329"/>
      <c r="CL65" s="324"/>
      <c r="CM65" s="324"/>
      <c r="CN65" s="324"/>
      <c r="CO65" s="324"/>
      <c r="CP65" s="324"/>
      <c r="CQ65" s="325"/>
    </row>
    <row r="66" spans="2:95" ht="15.6">
      <c r="B66" s="155" t="s">
        <v>243</v>
      </c>
      <c r="C66" s="86"/>
      <c r="D66" s="113" t="b">
        <f>IF(D55=TRUE,FALSE,OR(D57,IF(D64=FALSE,TRUE,FALSE)))</f>
        <v>1</v>
      </c>
      <c r="H66" s="5"/>
      <c r="AH66" s="148"/>
      <c r="AN66" s="5"/>
      <c r="AP66" s="147" t="s">
        <v>481</v>
      </c>
      <c r="AQ66" s="13"/>
      <c r="AR66" s="113" t="b">
        <v>0</v>
      </c>
      <c r="BA66" s="5"/>
      <c r="BC66" s="148"/>
      <c r="BJ66" s="5"/>
      <c r="BL66" s="170" t="s">
        <v>825</v>
      </c>
      <c r="BM66" s="9"/>
      <c r="BN66" s="113" t="b">
        <v>0</v>
      </c>
      <c r="BO66" t="s">
        <v>826</v>
      </c>
      <c r="BS66" s="5"/>
      <c r="BU66" s="148"/>
      <c r="CB66" s="5"/>
      <c r="CD66" s="141" t="s">
        <v>694</v>
      </c>
      <c r="CE66" s="327"/>
      <c r="CF66" s="327"/>
      <c r="CG66" s="327"/>
      <c r="CH66" s="327"/>
      <c r="CI66" s="327"/>
      <c r="CJ66" s="143"/>
      <c r="CK66" s="141" t="s">
        <v>709</v>
      </c>
      <c r="CL66" s="142"/>
      <c r="CM66" s="142"/>
      <c r="CN66" s="142"/>
      <c r="CO66" s="142"/>
      <c r="CP66" s="142"/>
      <c r="CQ66" s="143"/>
    </row>
    <row r="67" spans="2:95">
      <c r="B67" s="148"/>
      <c r="H67" s="5"/>
      <c r="AP67" s="147" t="s">
        <v>482</v>
      </c>
      <c r="AQ67" s="13"/>
      <c r="AR67" s="113" t="b">
        <f>OR(AR66,AR20)</f>
        <v>0</v>
      </c>
      <c r="BA67" s="5"/>
      <c r="BC67" s="148"/>
      <c r="BJ67" s="5"/>
      <c r="BL67" s="170" t="s">
        <v>827</v>
      </c>
      <c r="BM67" s="9"/>
      <c r="BN67" s="113" t="b">
        <f>OR(BN60,BN66)</f>
        <v>0</v>
      </c>
      <c r="BO67" t="s">
        <v>828</v>
      </c>
      <c r="BS67" s="5"/>
      <c r="BU67" s="155" t="s">
        <v>555</v>
      </c>
      <c r="BV67" s="86"/>
      <c r="BW67" s="113" t="b">
        <f>IF(BW63=TRUE,FALSE,IF(OR(BW65=1,BW68=FALSE),TRUE,FALSE))</f>
        <v>1</v>
      </c>
      <c r="CB67" s="5"/>
      <c r="CD67" s="187"/>
      <c r="CE67" s="2"/>
      <c r="CF67" s="2"/>
      <c r="CG67" s="2"/>
      <c r="CH67" s="2"/>
      <c r="CI67" s="2"/>
      <c r="CJ67" s="5"/>
      <c r="CK67" s="148"/>
      <c r="CQ67" s="5"/>
    </row>
    <row r="68" spans="2:95">
      <c r="B68" s="148"/>
      <c r="H68" s="5"/>
      <c r="AP68" s="148"/>
      <c r="BA68" s="5"/>
      <c r="BC68" s="148"/>
      <c r="BJ68" s="5"/>
      <c r="BL68" s="170" t="s">
        <v>829</v>
      </c>
      <c r="BM68" s="9"/>
      <c r="BN68" s="113">
        <f>IF('Toma de notas 60598'!$F$1033=0,1,0)</f>
        <v>1</v>
      </c>
      <c r="BS68" s="5"/>
      <c r="BU68" s="155" t="s">
        <v>993</v>
      </c>
      <c r="BV68" s="86"/>
      <c r="BW68" s="113" t="b">
        <f>IF(AND(BW63=FALSE,'Toma de notas 60598'!B988),TRUE,FALSE)</f>
        <v>0</v>
      </c>
      <c r="BX68" t="s">
        <v>992</v>
      </c>
      <c r="CB68" s="5"/>
      <c r="CD68" s="169" t="s">
        <v>666</v>
      </c>
      <c r="CE68" s="61"/>
      <c r="CF68" s="140" t="b">
        <f>G6</f>
        <v>0</v>
      </c>
      <c r="CG68" s="2"/>
      <c r="CH68" s="2"/>
      <c r="CI68" s="2"/>
      <c r="CJ68" s="5"/>
      <c r="CK68" s="167" t="s">
        <v>726</v>
      </c>
      <c r="CL68" s="19"/>
      <c r="CM68" s="113" t="b">
        <f>J6</f>
        <v>0</v>
      </c>
      <c r="CQ68" s="5"/>
    </row>
    <row r="69" spans="2:95" ht="15" thickBot="1">
      <c r="B69" s="148"/>
      <c r="H69" s="5"/>
      <c r="AP69" s="147" t="s">
        <v>483</v>
      </c>
      <c r="AQ69" s="13"/>
      <c r="AR69" s="113">
        <f>IF('Toma de notas 60598'!F738=0,1,0)</f>
        <v>1</v>
      </c>
      <c r="AS69" t="s">
        <v>425</v>
      </c>
      <c r="BA69" s="5"/>
      <c r="BC69" s="149"/>
      <c r="BD69" s="7"/>
      <c r="BE69" s="7"/>
      <c r="BF69" s="7"/>
      <c r="BG69" s="7"/>
      <c r="BH69" s="7"/>
      <c r="BI69" s="7"/>
      <c r="BJ69" s="1"/>
      <c r="BL69" s="170" t="s">
        <v>830</v>
      </c>
      <c r="BM69" s="9"/>
      <c r="BN69" s="113" t="b">
        <f>IF(BN67=TRUE,FALSE,IF(BN68=1,TRUE,FALSE))</f>
        <v>1</v>
      </c>
      <c r="BS69" s="5"/>
      <c r="BU69" s="148"/>
      <c r="BW69" s="273"/>
      <c r="CB69" s="5"/>
      <c r="CD69" s="187"/>
      <c r="CE69" s="2"/>
      <c r="CF69" s="2"/>
      <c r="CG69" s="2"/>
      <c r="CH69" s="2"/>
      <c r="CI69" s="2"/>
      <c r="CJ69" s="5"/>
      <c r="CK69" s="148"/>
      <c r="CQ69" s="5"/>
    </row>
    <row r="70" spans="2:95" ht="15" thickBot="1">
      <c r="B70" s="149"/>
      <c r="C70" s="7"/>
      <c r="D70" s="7"/>
      <c r="E70" s="7"/>
      <c r="F70" s="7"/>
      <c r="G70" s="7"/>
      <c r="H70" s="1"/>
      <c r="AP70" s="147" t="s">
        <v>477</v>
      </c>
      <c r="AQ70" s="13"/>
      <c r="AR70" s="113" t="b">
        <f>IF(COUNTIF(B11:G12,"=VERDADERO")&gt;0,TRUE,FALSE)</f>
        <v>0</v>
      </c>
      <c r="AT70" s="13" t="s">
        <v>584</v>
      </c>
      <c r="AU70" s="13"/>
      <c r="AV70" s="113" t="b">
        <f>OR(G11,G12)</f>
        <v>0</v>
      </c>
      <c r="BA70" s="5"/>
      <c r="BL70" s="148"/>
      <c r="BS70" s="5"/>
      <c r="BU70" s="270" t="s">
        <v>516</v>
      </c>
      <c r="BV70" s="87"/>
      <c r="BW70" s="113" t="b">
        <f>OR(BW27,BW43,BW60,BW67)</f>
        <v>1</v>
      </c>
      <c r="CB70" s="5"/>
      <c r="CD70" s="169" t="s">
        <v>667</v>
      </c>
      <c r="CE70" s="61"/>
      <c r="CF70" s="140" t="b">
        <v>0</v>
      </c>
      <c r="CG70" s="2"/>
      <c r="CH70" s="2"/>
      <c r="CI70" s="2"/>
      <c r="CJ70" s="5"/>
      <c r="CK70" s="167" t="s">
        <v>727</v>
      </c>
      <c r="CL70" s="54"/>
      <c r="CM70" s="113" t="b">
        <v>0</v>
      </c>
      <c r="CN70" s="2"/>
      <c r="CQ70" s="5"/>
    </row>
    <row r="71" spans="2:95" ht="15" thickBot="1">
      <c r="AH71" s="149"/>
      <c r="AI71" s="7"/>
      <c r="AJ71" s="7"/>
      <c r="AK71" s="7"/>
      <c r="AL71" s="7"/>
      <c r="AM71" s="7"/>
      <c r="AN71" s="1"/>
      <c r="AP71" s="148"/>
      <c r="BA71" s="5"/>
      <c r="BL71" s="148"/>
      <c r="BS71" s="5"/>
      <c r="BU71" s="148"/>
      <c r="CB71" s="5"/>
      <c r="CD71" s="169" t="s">
        <v>678</v>
      </c>
      <c r="CE71" s="61"/>
      <c r="CF71" s="140" t="b">
        <f>OR(CF70,NOT(CF68))</f>
        <v>1</v>
      </c>
      <c r="CG71" s="2" t="s">
        <v>668</v>
      </c>
      <c r="CH71" s="2"/>
      <c r="CI71" s="2"/>
      <c r="CJ71" s="5"/>
      <c r="CK71" s="167" t="s">
        <v>728</v>
      </c>
      <c r="CL71" s="54"/>
      <c r="CM71" s="113" t="b">
        <f>OR(NOT(CM68),CM70)</f>
        <v>1</v>
      </c>
      <c r="CN71" t="s">
        <v>668</v>
      </c>
      <c r="CQ71" s="5"/>
    </row>
    <row r="72" spans="2:95" ht="15" thickBot="1">
      <c r="AP72" s="147" t="s">
        <v>484</v>
      </c>
      <c r="AQ72" s="13"/>
      <c r="AR72" s="113" t="b">
        <f>IF(AR67=TRUE,FALSE,IF(OR(AR69=1,AR70=FALSE),TRUE,FALSE))</f>
        <v>1</v>
      </c>
      <c r="BA72" s="5"/>
      <c r="BL72" s="170" t="s">
        <v>825</v>
      </c>
      <c r="BM72" s="9"/>
      <c r="BN72" s="113" t="b">
        <v>0</v>
      </c>
      <c r="BS72" s="5"/>
      <c r="BU72" s="148"/>
      <c r="CB72" s="5"/>
      <c r="CD72" s="187"/>
      <c r="CE72" s="2"/>
      <c r="CF72" s="2"/>
      <c r="CG72" s="2"/>
      <c r="CH72" s="2"/>
      <c r="CI72" s="2"/>
      <c r="CJ72" s="5"/>
      <c r="CK72" s="148"/>
      <c r="CQ72" s="5"/>
    </row>
    <row r="73" spans="2:95" ht="15.6">
      <c r="B73" s="141" t="s">
        <v>1135</v>
      </c>
      <c r="C73" s="165"/>
      <c r="D73" s="142"/>
      <c r="E73" s="142"/>
      <c r="F73" s="142"/>
      <c r="G73" s="142"/>
      <c r="H73" s="142"/>
      <c r="I73" s="142"/>
      <c r="J73" s="142"/>
      <c r="K73" s="142"/>
      <c r="L73" s="142"/>
      <c r="M73" s="142"/>
      <c r="N73" s="142"/>
      <c r="O73" s="142"/>
      <c r="P73" s="143"/>
      <c r="AP73" s="148"/>
      <c r="BA73" s="5"/>
      <c r="BL73" s="170" t="s">
        <v>827</v>
      </c>
      <c r="BM73" s="9"/>
      <c r="BN73" s="113" t="b">
        <f>OR(BN60,BN72)</f>
        <v>0</v>
      </c>
      <c r="BS73" s="5"/>
      <c r="BU73" s="148"/>
      <c r="CB73" s="5"/>
      <c r="CD73" s="169" t="s">
        <v>696</v>
      </c>
      <c r="CE73" s="61"/>
      <c r="CF73" s="140">
        <f>IF('Toma de notas 60598'!$F$413=0,1,0)</f>
        <v>1</v>
      </c>
      <c r="CG73" s="2" t="s">
        <v>676</v>
      </c>
      <c r="CH73" s="2"/>
      <c r="CI73" s="2"/>
      <c r="CJ73" s="5"/>
      <c r="CK73" s="22" t="s">
        <v>729</v>
      </c>
      <c r="CL73" s="19"/>
      <c r="CM73" s="21">
        <f>IF('Toma de notas 60598'!F450=0,1,0)</f>
        <v>1</v>
      </c>
      <c r="CQ73" s="5"/>
    </row>
    <row r="74" spans="2:95">
      <c r="B74" s="148"/>
      <c r="P74" s="5"/>
      <c r="AP74" s="236" t="s">
        <v>485</v>
      </c>
      <c r="AQ74" s="12"/>
      <c r="AR74" s="12"/>
      <c r="BA74" s="5"/>
      <c r="BL74" s="170" t="s">
        <v>829</v>
      </c>
      <c r="BM74" s="9"/>
      <c r="BN74" s="113">
        <f>IF('Toma de notas 60598'!$F$1040=0,1,0)</f>
        <v>1</v>
      </c>
      <c r="BS74" s="5"/>
      <c r="BU74" s="148"/>
      <c r="CB74" s="5"/>
      <c r="CD74" s="187"/>
      <c r="CE74" s="2"/>
      <c r="CF74" s="2"/>
      <c r="CG74" s="2"/>
      <c r="CH74" s="2"/>
      <c r="CI74" s="2"/>
      <c r="CJ74" s="5"/>
      <c r="CK74" s="148"/>
      <c r="CQ74" s="5"/>
    </row>
    <row r="75" spans="2:95">
      <c r="B75" s="161" t="s">
        <v>274</v>
      </c>
      <c r="C75" s="34"/>
      <c r="D75" s="140" t="b">
        <f>K39</f>
        <v>0</v>
      </c>
      <c r="J75" s="34" t="s">
        <v>284</v>
      </c>
      <c r="K75" s="34"/>
      <c r="L75" s="113" t="b">
        <v>0</v>
      </c>
      <c r="M75" t="s">
        <v>288</v>
      </c>
      <c r="P75" s="5"/>
      <c r="AP75" s="147" t="s">
        <v>486</v>
      </c>
      <c r="AQ75" s="13"/>
      <c r="AR75" s="113" t="b">
        <v>0</v>
      </c>
      <c r="BA75" s="5"/>
      <c r="BL75" s="170" t="s">
        <v>830</v>
      </c>
      <c r="BM75" s="9"/>
      <c r="BN75" s="113" t="b">
        <f>IF(BN73=TRUE,FALSE,IF(BN74=1,TRUE,FALSE))</f>
        <v>1</v>
      </c>
      <c r="BS75" s="5"/>
      <c r="BU75" s="148"/>
      <c r="CB75" s="5"/>
      <c r="CD75" s="169" t="s">
        <v>697</v>
      </c>
      <c r="CE75" s="61"/>
      <c r="CF75" s="140" t="b">
        <f>IF(CF71=TRUE,FALSE,IF(CF73=1,TRUE,FALSE))</f>
        <v>0</v>
      </c>
      <c r="CG75" s="2"/>
      <c r="CH75" s="2"/>
      <c r="CI75" s="2"/>
      <c r="CJ75" s="5"/>
      <c r="CK75" s="22" t="s">
        <v>730</v>
      </c>
      <c r="CL75" s="19"/>
      <c r="CM75" s="113" t="b">
        <f>IF(CM71=TRUE,FALSE,IF(CM73=1,TRUE,FALSE))</f>
        <v>0</v>
      </c>
      <c r="CQ75" s="5"/>
    </row>
    <row r="76" spans="2:95">
      <c r="B76" s="161" t="s">
        <v>275</v>
      </c>
      <c r="C76" s="162"/>
      <c r="D76" s="140" t="b">
        <f>K41</f>
        <v>0</v>
      </c>
      <c r="J76" s="34" t="s">
        <v>285</v>
      </c>
      <c r="K76" s="34"/>
      <c r="L76" s="113" t="b">
        <v>0</v>
      </c>
      <c r="M76" t="s">
        <v>289</v>
      </c>
      <c r="P76" s="5"/>
      <c r="AP76" s="147" t="s">
        <v>487</v>
      </c>
      <c r="AQ76" s="13"/>
      <c r="AR76" s="113" t="b">
        <f>OR(AR75,AR20)</f>
        <v>0</v>
      </c>
      <c r="BA76" s="5"/>
      <c r="BL76" s="187"/>
      <c r="BN76" s="166"/>
      <c r="BS76" s="5"/>
      <c r="BU76" s="148"/>
      <c r="CB76" s="5"/>
      <c r="CD76" s="187"/>
      <c r="CE76" s="2"/>
      <c r="CF76" s="2"/>
      <c r="CG76" s="2"/>
      <c r="CH76" s="2"/>
      <c r="CI76" s="2"/>
      <c r="CJ76" s="5"/>
      <c r="CK76" s="148"/>
      <c r="CQ76" s="5"/>
    </row>
    <row r="77" spans="2:95" ht="15" thickBot="1">
      <c r="B77" s="161" t="s">
        <v>276</v>
      </c>
      <c r="C77" s="162"/>
      <c r="D77" s="140" t="b">
        <f>OR(D75,D76)</f>
        <v>0</v>
      </c>
      <c r="E77" t="s">
        <v>277</v>
      </c>
      <c r="J77" s="34" t="s">
        <v>286</v>
      </c>
      <c r="K77" s="34"/>
      <c r="L77" s="113" t="b">
        <v>0</v>
      </c>
      <c r="M77" t="s">
        <v>290</v>
      </c>
      <c r="P77" s="5"/>
      <c r="AP77" s="148"/>
      <c r="BA77" s="5"/>
      <c r="BL77" s="153" t="s">
        <v>1211</v>
      </c>
      <c r="BM77" s="179"/>
      <c r="BN77" s="113" t="b">
        <f>OR(BN63,BN69,BN75)</f>
        <v>1</v>
      </c>
      <c r="BO77" t="s">
        <v>822</v>
      </c>
      <c r="BS77" s="5"/>
      <c r="BU77" s="149"/>
      <c r="BV77" s="7"/>
      <c r="BW77" s="7"/>
      <c r="BX77" s="7"/>
      <c r="BY77" s="7"/>
      <c r="BZ77" s="7"/>
      <c r="CA77" s="7"/>
      <c r="CB77" s="1"/>
      <c r="CD77" s="187"/>
      <c r="CE77" s="2"/>
      <c r="CF77" s="2"/>
      <c r="CG77" s="2"/>
      <c r="CH77" s="2"/>
      <c r="CI77" s="2"/>
      <c r="CJ77" s="5"/>
      <c r="CK77" s="148"/>
      <c r="CQ77" s="5"/>
    </row>
    <row r="78" spans="2:95" ht="15" thickBot="1">
      <c r="B78" s="148"/>
      <c r="J78" s="34" t="s">
        <v>287</v>
      </c>
      <c r="K78" s="34"/>
      <c r="L78" s="113" t="b">
        <f>IF(COUNTIF('Toma de notas 60598'!G96:N98,"&gt;=0")&gt;=3,TRUE,FALSE)</f>
        <v>0</v>
      </c>
      <c r="M78" t="s">
        <v>291</v>
      </c>
      <c r="P78" s="5"/>
      <c r="AP78" s="147" t="s">
        <v>488</v>
      </c>
      <c r="AQ78" s="13"/>
      <c r="AR78" s="113">
        <f>IF('Toma de notas 60598'!F749=0,1,0)</f>
        <v>0</v>
      </c>
      <c r="AS78" t="s">
        <v>425</v>
      </c>
      <c r="BA78" s="5"/>
      <c r="BL78" s="149"/>
      <c r="BM78" s="7"/>
      <c r="BN78" s="7"/>
      <c r="BO78" s="7"/>
      <c r="BP78" s="7"/>
      <c r="BQ78" s="7"/>
      <c r="BR78" s="7"/>
      <c r="BS78" s="1"/>
      <c r="BU78" s="149"/>
      <c r="BV78" s="7"/>
      <c r="BW78" s="7"/>
      <c r="BX78" s="7"/>
      <c r="BY78" s="7"/>
      <c r="BZ78" s="7"/>
      <c r="CA78" s="7"/>
      <c r="CB78" s="1"/>
      <c r="CD78" s="148"/>
      <c r="CJ78" s="5"/>
      <c r="CK78" s="153" t="s">
        <v>731</v>
      </c>
      <c r="CL78" s="179"/>
      <c r="CM78" s="113" t="b">
        <v>0</v>
      </c>
      <c r="CN78" s="2"/>
      <c r="CQ78" s="5"/>
    </row>
    <row r="79" spans="2:95">
      <c r="B79" s="163" t="s">
        <v>265</v>
      </c>
      <c r="C79" s="34"/>
      <c r="D79" s="21">
        <f>IF('Toma de notas 60598'!F84=0,1,0)</f>
        <v>1</v>
      </c>
      <c r="E79" t="s">
        <v>246</v>
      </c>
      <c r="J79" s="34" t="s">
        <v>292</v>
      </c>
      <c r="K79" s="34"/>
      <c r="L79" s="113" t="b">
        <f>AND(L77,L78)</f>
        <v>0</v>
      </c>
      <c r="M79" t="s">
        <v>293</v>
      </c>
      <c r="P79" s="5"/>
      <c r="AP79" s="148"/>
      <c r="BA79" s="5"/>
      <c r="CD79" s="148"/>
      <c r="CJ79" s="5"/>
      <c r="CK79" s="153" t="s">
        <v>732</v>
      </c>
      <c r="CL79" s="179"/>
      <c r="CM79" s="113" t="b">
        <f>OR(NOT(CM68),CM78)</f>
        <v>1</v>
      </c>
      <c r="CN79" t="s">
        <v>668</v>
      </c>
      <c r="CQ79" s="5"/>
    </row>
    <row r="80" spans="2:95">
      <c r="B80" s="148"/>
      <c r="J80" s="18" t="s">
        <v>272</v>
      </c>
      <c r="K80" s="18"/>
      <c r="L80" s="113" t="b">
        <f>OR(L75,L76,L79)</f>
        <v>0</v>
      </c>
      <c r="M80" t="s">
        <v>296</v>
      </c>
      <c r="P80" s="5"/>
      <c r="AP80" s="147" t="s">
        <v>489</v>
      </c>
      <c r="AQ80" s="13"/>
      <c r="AR80" s="113" t="b">
        <f>IF(AR76=TRUE,FALSE,IF(OR(AR78=1,AP88=FALSE),TRUE,FALSE))</f>
        <v>1</v>
      </c>
      <c r="BA80" s="5"/>
      <c r="CD80" s="148"/>
      <c r="CJ80" s="5"/>
      <c r="CK80" s="148"/>
      <c r="CQ80" s="5"/>
    </row>
    <row r="81" spans="2:95">
      <c r="B81" s="163" t="s">
        <v>278</v>
      </c>
      <c r="C81" s="34"/>
      <c r="D81" s="112" t="b">
        <v>0</v>
      </c>
      <c r="E81" t="s">
        <v>279</v>
      </c>
      <c r="J81" s="34" t="s">
        <v>294</v>
      </c>
      <c r="K81" s="34"/>
      <c r="L81" s="113" t="b">
        <f>IF(D77=TRUE,FALSE,OR(IF(L80=FALSE,TRUE,FALSE)))</f>
        <v>1</v>
      </c>
      <c r="P81" s="5"/>
      <c r="AP81" s="148"/>
      <c r="BA81" s="5"/>
      <c r="BU81" s="77" t="s">
        <v>1195</v>
      </c>
      <c r="BV81" s="77" t="s">
        <v>920</v>
      </c>
      <c r="BW81" s="77"/>
      <c r="BX81" s="77"/>
      <c r="BY81" s="77"/>
      <c r="BZ81" s="77"/>
      <c r="CA81" s="77"/>
      <c r="CB81" s="77"/>
      <c r="CD81" s="148"/>
      <c r="CJ81" s="5"/>
      <c r="CK81" s="24" t="s">
        <v>733</v>
      </c>
      <c r="CL81" s="18"/>
      <c r="CM81" s="21">
        <f>IF('Toma de notas 60598'!$F$456=0,1,0)</f>
        <v>1</v>
      </c>
      <c r="CQ81" s="5"/>
    </row>
    <row r="82" spans="2:95">
      <c r="B82" s="163" t="s">
        <v>282</v>
      </c>
      <c r="C82" s="34"/>
      <c r="D82" s="34"/>
      <c r="E82" t="s">
        <v>280</v>
      </c>
      <c r="P82" s="5"/>
      <c r="AP82" s="148"/>
      <c r="BA82" s="5"/>
      <c r="CD82" s="148"/>
      <c r="CJ82" s="5"/>
      <c r="CK82" s="148"/>
      <c r="CQ82" s="5"/>
    </row>
    <row r="83" spans="2:95">
      <c r="B83" s="113" t="b">
        <v>0</v>
      </c>
      <c r="C83" s="113" t="b">
        <v>0</v>
      </c>
      <c r="E83" t="s">
        <v>281</v>
      </c>
      <c r="P83" s="5"/>
      <c r="AP83" s="147" t="s">
        <v>490</v>
      </c>
      <c r="AQ83" s="13"/>
      <c r="AR83" s="113" t="b">
        <f>IF(AR20=TRUE,FALSE,IF(OR(AR72,AR62,AR80),TRUE,FALSE))</f>
        <v>1</v>
      </c>
      <c r="AS83" t="s">
        <v>491</v>
      </c>
      <c r="BA83" s="5"/>
      <c r="BU83" s="140" t="b">
        <f>AND(OR('Toma de notas 60598'!B849:B851),IF(COUNTIF('Toma de notas 60598'!B849:B851,"VERDADERO")=1,TRUE,FALSE))</f>
        <v>0</v>
      </c>
      <c r="BV83" t="s">
        <v>915</v>
      </c>
      <c r="CD83" s="148"/>
      <c r="CJ83" s="5"/>
      <c r="CK83" s="24" t="s">
        <v>730</v>
      </c>
      <c r="CL83" s="18"/>
      <c r="CM83" s="113" t="b">
        <f>IF(CM79=TRUE,FALSE,IF(CM81=1,TRUE,FALSE))</f>
        <v>0</v>
      </c>
      <c r="CQ83" s="5"/>
    </row>
    <row r="84" spans="2:95">
      <c r="B84" s="24" t="s">
        <v>272</v>
      </c>
      <c r="C84" s="18"/>
      <c r="D84" s="113" t="b">
        <f>OR(D81,B83,C83)</f>
        <v>0</v>
      </c>
      <c r="E84" t="s">
        <v>270</v>
      </c>
      <c r="J84" s="18" t="s">
        <v>272</v>
      </c>
      <c r="K84" s="18"/>
      <c r="L84" s="113" t="b">
        <f>IF(D84+L80=2,TRUE,FALSE)</f>
        <v>0</v>
      </c>
      <c r="P84" s="5"/>
      <c r="AP84" s="148"/>
      <c r="BA84" s="5"/>
      <c r="CD84" s="148"/>
      <c r="CJ84" s="5"/>
      <c r="CK84" s="148"/>
      <c r="CQ84" s="5"/>
    </row>
    <row r="85" spans="2:95">
      <c r="B85" s="163" t="s">
        <v>283</v>
      </c>
      <c r="C85" s="34"/>
      <c r="D85" s="113" t="b">
        <f>IF(D77=TRUE,FALSE,OR(IF(D84=FALSE,TRUE,FALSE)))</f>
        <v>1</v>
      </c>
      <c r="J85" s="34" t="s">
        <v>295</v>
      </c>
      <c r="K85" s="34"/>
      <c r="L85" s="113" t="b">
        <f>IF(D77=TRUE,FALSE,OR(D79,IF(L84=FALSE,TRUE,FALSE)))</f>
        <v>1</v>
      </c>
      <c r="P85" s="5"/>
      <c r="AP85" s="187" t="s">
        <v>988</v>
      </c>
      <c r="AV85" s="5"/>
      <c r="BA85" s="5"/>
      <c r="BU85" s="140" t="b">
        <f>'Toma de notas 60598'!B854</f>
        <v>1</v>
      </c>
      <c r="BV85" t="s">
        <v>916</v>
      </c>
      <c r="CD85" s="148"/>
      <c r="CJ85" s="5"/>
      <c r="CK85" s="163" t="s">
        <v>516</v>
      </c>
      <c r="CL85" s="34"/>
      <c r="CM85" s="113" t="b">
        <f>OR(CM75,CM83)</f>
        <v>0</v>
      </c>
      <c r="CQ85" s="5"/>
    </row>
    <row r="86" spans="2:95" ht="15" thickBot="1">
      <c r="B86" s="148"/>
      <c r="P86" s="5"/>
      <c r="AP86" s="156" t="b">
        <f>IF(AV86&gt;=2,TRUE,FALSE)</f>
        <v>0</v>
      </c>
      <c r="AQ86" t="s">
        <v>983</v>
      </c>
      <c r="AV86" s="361">
        <f>'Toma de notas 60598'!G755-'Toma de notas 60598'!G753</f>
        <v>0</v>
      </c>
      <c r="BA86" s="5"/>
      <c r="CD86" s="149"/>
      <c r="CE86" s="7"/>
      <c r="CF86" s="7"/>
      <c r="CG86" s="7"/>
      <c r="CH86" s="7"/>
      <c r="CI86" s="7"/>
      <c r="CJ86" s="1"/>
      <c r="CK86" s="149"/>
      <c r="CL86" s="7"/>
      <c r="CM86" s="7"/>
      <c r="CN86" s="7"/>
      <c r="CO86" s="7"/>
      <c r="CP86" s="7"/>
      <c r="CQ86" s="1"/>
    </row>
    <row r="87" spans="2:95" ht="15.6">
      <c r="B87" s="148"/>
      <c r="P87" s="5"/>
      <c r="AP87" s="156" t="b">
        <f>IF(AV87&gt;=0,TRUE,FALSE)</f>
        <v>1</v>
      </c>
      <c r="AQ87" t="s">
        <v>954</v>
      </c>
      <c r="AV87" s="361">
        <f>'Toma de notas 60598'!G756-'Toma de notas 60598'!G754</f>
        <v>0</v>
      </c>
      <c r="BA87" s="5"/>
      <c r="BU87" s="113" t="b">
        <f>'Toma de notas 60598'!B861</f>
        <v>0</v>
      </c>
      <c r="BV87" t="s">
        <v>917</v>
      </c>
      <c r="CD87" s="141" t="s">
        <v>715</v>
      </c>
      <c r="CE87" s="142"/>
      <c r="CF87" s="142"/>
      <c r="CG87" s="142"/>
      <c r="CH87" s="142"/>
      <c r="CI87" s="142"/>
      <c r="CJ87" s="143"/>
      <c r="CK87" s="141" t="s">
        <v>712</v>
      </c>
      <c r="CL87" s="142"/>
      <c r="CM87" s="142"/>
      <c r="CN87" s="142"/>
      <c r="CO87" s="142"/>
      <c r="CP87" s="142"/>
      <c r="CQ87" s="143"/>
    </row>
    <row r="88" spans="2:95">
      <c r="B88" s="148"/>
      <c r="P88" s="5"/>
      <c r="AP88" s="518" t="b">
        <f>IF(AND(AP86,AP87),TRUE,IF(AV86&gt;2,TRUE,FALSE))</f>
        <v>0</v>
      </c>
      <c r="AQ88" t="s">
        <v>984</v>
      </c>
      <c r="AV88" s="5"/>
      <c r="BA88" s="5"/>
      <c r="BU88" s="140" t="b">
        <f>IF(BU87=FALSE,TRUE,IF(AND(BU87=TRUE,'Toma de notas 60598'!G862&lt;&gt;0),TRUE,FALSE))</f>
        <v>1</v>
      </c>
      <c r="BV88" t="s">
        <v>918</v>
      </c>
      <c r="CD88" s="148"/>
      <c r="CJ88" s="5"/>
      <c r="CK88" s="148"/>
      <c r="CQ88" s="5"/>
    </row>
    <row r="89" spans="2:95">
      <c r="B89" s="148"/>
      <c r="P89" s="5"/>
      <c r="AP89" s="148"/>
      <c r="BA89" s="5"/>
      <c r="CD89" s="161" t="s">
        <v>666</v>
      </c>
      <c r="CE89" s="162"/>
      <c r="CF89" s="140" t="b">
        <f>L6</f>
        <v>0</v>
      </c>
      <c r="CG89" s="2"/>
      <c r="CJ89" s="5"/>
      <c r="CK89" s="169" t="s">
        <v>666</v>
      </c>
      <c r="CL89" s="61"/>
      <c r="CM89" s="140" t="b">
        <f>K6</f>
        <v>0</v>
      </c>
      <c r="CN89" s="2"/>
      <c r="CQ89" s="5"/>
    </row>
    <row r="90" spans="2:95" ht="15" thickBot="1">
      <c r="B90" s="148"/>
      <c r="P90" s="5"/>
      <c r="AP90" s="149"/>
      <c r="AQ90" s="7"/>
      <c r="AR90" s="7"/>
      <c r="AS90" s="7"/>
      <c r="AT90" s="7"/>
      <c r="AU90" s="7"/>
      <c r="AV90" s="7"/>
      <c r="AW90" s="7"/>
      <c r="AX90" s="7"/>
      <c r="AY90" s="7"/>
      <c r="AZ90" s="7"/>
      <c r="BA90" s="1"/>
      <c r="BU90" s="2" t="s">
        <v>919</v>
      </c>
      <c r="CD90" s="187"/>
      <c r="CE90" s="2"/>
      <c r="CF90" s="2"/>
      <c r="CG90" s="2"/>
      <c r="CJ90" s="5"/>
      <c r="CK90" s="187"/>
      <c r="CL90" s="2"/>
      <c r="CM90" s="2"/>
      <c r="CN90" s="2"/>
      <c r="CQ90" s="5"/>
    </row>
    <row r="91" spans="2:95">
      <c r="B91" s="148"/>
      <c r="P91" s="5"/>
      <c r="BU91" s="113" t="b">
        <f>IF('Toma de notas 60598'!G864&gt;=2.5,TRUE,FALSE)</f>
        <v>0</v>
      </c>
      <c r="BV91" t="s">
        <v>921</v>
      </c>
      <c r="CD91" s="161" t="s">
        <v>731</v>
      </c>
      <c r="CE91" s="162"/>
      <c r="CF91" s="140" t="b">
        <v>0</v>
      </c>
      <c r="CG91" s="2"/>
      <c r="CJ91" s="5"/>
      <c r="CK91" s="169" t="s">
        <v>667</v>
      </c>
      <c r="CL91" s="61"/>
      <c r="CM91" s="140" t="b">
        <v>0</v>
      </c>
      <c r="CN91" s="2"/>
      <c r="CQ91" s="5"/>
    </row>
    <row r="92" spans="2:95" ht="15" thickBot="1">
      <c r="B92" s="149"/>
      <c r="C92" s="7"/>
      <c r="D92" s="7"/>
      <c r="E92" s="7"/>
      <c r="F92" s="7"/>
      <c r="G92" s="7"/>
      <c r="H92" s="7"/>
      <c r="I92" s="7"/>
      <c r="J92" s="7"/>
      <c r="K92" s="7"/>
      <c r="L92" s="7"/>
      <c r="M92" s="7"/>
      <c r="N92" s="7"/>
      <c r="O92" s="7"/>
      <c r="P92" s="1"/>
      <c r="BU92" s="113" t="b">
        <f>IF('Toma de notas 60598'!G865&gt;=10,TRUE,FALSE)</f>
        <v>0</v>
      </c>
      <c r="BV92" t="s">
        <v>922</v>
      </c>
      <c r="CD92" s="161" t="s">
        <v>741</v>
      </c>
      <c r="CE92" s="162"/>
      <c r="CF92" s="140" t="b">
        <f>OR(CF91,NOT(CF89))</f>
        <v>1</v>
      </c>
      <c r="CG92" s="2" t="s">
        <v>668</v>
      </c>
      <c r="CJ92" s="5"/>
      <c r="CK92" s="169" t="s">
        <v>678</v>
      </c>
      <c r="CL92" s="61"/>
      <c r="CM92" s="140" t="b">
        <f>OR(CM91,NOT(CM89))</f>
        <v>1</v>
      </c>
      <c r="CN92" s="2" t="s">
        <v>668</v>
      </c>
      <c r="CQ92" s="5"/>
    </row>
    <row r="93" spans="2:95">
      <c r="BU93" s="113" t="b">
        <f>IF('Toma de notas 60598'!G866&gt;=10,TRUE,FALSE)</f>
        <v>0</v>
      </c>
      <c r="BV93" t="s">
        <v>923</v>
      </c>
      <c r="CD93" s="187"/>
      <c r="CE93" s="2"/>
      <c r="CF93" s="2"/>
      <c r="CG93" s="2"/>
      <c r="CJ93" s="5"/>
      <c r="CK93" s="187"/>
      <c r="CL93" s="2"/>
      <c r="CM93" s="2"/>
      <c r="CN93" s="2"/>
      <c r="CQ93" s="5"/>
    </row>
    <row r="94" spans="2:95" ht="15" thickBot="1">
      <c r="BU94" s="140" t="b">
        <f>AND(BU91:BU93)</f>
        <v>0</v>
      </c>
      <c r="BV94" t="s">
        <v>924</v>
      </c>
      <c r="CD94" s="161" t="s">
        <v>733</v>
      </c>
      <c r="CE94" s="162"/>
      <c r="CF94" s="140">
        <f>IF('Toma de notas 60598'!$F$483=0,1,0)</f>
        <v>1</v>
      </c>
      <c r="CG94" s="2" t="s">
        <v>676</v>
      </c>
      <c r="CJ94" s="5"/>
      <c r="CK94" s="169" t="s">
        <v>735</v>
      </c>
      <c r="CL94" s="61"/>
      <c r="CM94" s="140">
        <f>IF('Toma de notas 60598'!$F$470=0,1,0)</f>
        <v>1</v>
      </c>
      <c r="CN94" s="2" t="s">
        <v>676</v>
      </c>
      <c r="CQ94" s="5"/>
    </row>
    <row r="95" spans="2:95" ht="15.6">
      <c r="B95" s="141" t="s">
        <v>1136</v>
      </c>
      <c r="C95" s="142"/>
      <c r="D95" s="142"/>
      <c r="E95" s="142"/>
      <c r="F95" s="142"/>
      <c r="G95" s="142"/>
      <c r="H95" s="143"/>
      <c r="J95" s="141" t="s">
        <v>1139</v>
      </c>
      <c r="K95" s="142"/>
      <c r="L95" s="142"/>
      <c r="M95" s="142"/>
      <c r="N95" s="142"/>
      <c r="O95" s="142"/>
      <c r="P95" s="143"/>
      <c r="CD95" s="187"/>
      <c r="CE95" s="2"/>
      <c r="CF95" s="2"/>
      <c r="CG95" s="2"/>
      <c r="CJ95" s="5"/>
      <c r="CK95" s="187"/>
      <c r="CL95" s="2"/>
      <c r="CM95" s="2"/>
      <c r="CN95" s="2"/>
      <c r="CQ95" s="5"/>
    </row>
    <row r="96" spans="2:95">
      <c r="B96" s="148"/>
      <c r="H96" s="5"/>
      <c r="J96" s="148"/>
      <c r="P96" s="5"/>
      <c r="BU96" s="2" t="s">
        <v>925</v>
      </c>
      <c r="CD96" s="161" t="s">
        <v>742</v>
      </c>
      <c r="CE96" s="162"/>
      <c r="CF96" s="140" t="b">
        <f>IF(CF92=TRUE,FALSE,IF(CF94=1,TRUE,FALSE))</f>
        <v>0</v>
      </c>
      <c r="CG96" s="2"/>
      <c r="CJ96" s="5"/>
      <c r="CK96" s="169" t="s">
        <v>736</v>
      </c>
      <c r="CL96" s="61"/>
      <c r="CM96" s="140" t="b">
        <f>IF(CM92=TRUE,FALSE,IF(CM94=1,TRUE,FALSE))</f>
        <v>0</v>
      </c>
      <c r="CN96" s="2"/>
      <c r="CQ96" s="5"/>
    </row>
    <row r="97" spans="2:95">
      <c r="B97" s="167" t="s">
        <v>274</v>
      </c>
      <c r="C97" s="19"/>
      <c r="D97" s="140" t="b">
        <f>K39</f>
        <v>0</v>
      </c>
      <c r="H97" s="5"/>
      <c r="J97" s="169" t="s">
        <v>274</v>
      </c>
      <c r="K97" s="9"/>
      <c r="L97" s="140" t="b">
        <f>K39</f>
        <v>0</v>
      </c>
      <c r="P97" s="5"/>
      <c r="BU97" s="113" t="b">
        <f>IF('Toma de notas 60598'!G869&lt;&gt;0,TRUE,FALSE)</f>
        <v>0</v>
      </c>
      <c r="BV97" t="s">
        <v>928</v>
      </c>
      <c r="CD97" s="148"/>
      <c r="CJ97" s="5"/>
      <c r="CK97" s="148"/>
      <c r="CQ97" s="5"/>
    </row>
    <row r="98" spans="2:95">
      <c r="B98" s="167" t="s">
        <v>275</v>
      </c>
      <c r="C98" s="54"/>
      <c r="D98" s="140" t="b">
        <f>K42</f>
        <v>0</v>
      </c>
      <c r="H98" s="5"/>
      <c r="J98" s="169" t="s">
        <v>275</v>
      </c>
      <c r="K98" s="61"/>
      <c r="L98" s="140" t="b">
        <f>K43</f>
        <v>0</v>
      </c>
      <c r="P98" s="5"/>
      <c r="BU98" s="113" t="b">
        <f>IF('Toma de notas 60598'!G870&lt;&gt;0,TRUE,FALSE)</f>
        <v>0</v>
      </c>
      <c r="BV98" t="s">
        <v>929</v>
      </c>
      <c r="CD98" s="148"/>
      <c r="CJ98" s="5"/>
      <c r="CK98" s="148"/>
      <c r="CQ98" s="5"/>
    </row>
    <row r="99" spans="2:95">
      <c r="B99" s="167" t="s">
        <v>276</v>
      </c>
      <c r="C99" s="54"/>
      <c r="D99" s="140" t="b">
        <f>OR(D97,D98)</f>
        <v>0</v>
      </c>
      <c r="E99" t="s">
        <v>277</v>
      </c>
      <c r="H99" s="5"/>
      <c r="J99" s="169" t="s">
        <v>303</v>
      </c>
      <c r="K99" s="9"/>
      <c r="L99" s="140" t="b">
        <f>IF(D8=1,TRUE,FALSE)</f>
        <v>1</v>
      </c>
      <c r="M99" t="s">
        <v>304</v>
      </c>
      <c r="P99" s="5"/>
      <c r="BU99" s="140" t="b">
        <f>IF(('Toma de notas 60598'!G870-'Toma de notas 60598'!G869)*1440&lt;180,FALSE,TRUE)</f>
        <v>0</v>
      </c>
      <c r="BV99" t="s">
        <v>930</v>
      </c>
      <c r="CD99" s="148"/>
      <c r="CJ99" s="5"/>
      <c r="CK99" s="148"/>
      <c r="CQ99" s="5"/>
    </row>
    <row r="100" spans="2:95">
      <c r="B100" s="148"/>
      <c r="H100" s="5"/>
      <c r="J100" s="169" t="s">
        <v>276</v>
      </c>
      <c r="K100" s="61"/>
      <c r="L100" s="140" t="b">
        <f>OR(L97,L98,L99)</f>
        <v>1</v>
      </c>
      <c r="M100" t="s">
        <v>277</v>
      </c>
      <c r="P100" s="5"/>
      <c r="CD100" s="161" t="s">
        <v>745</v>
      </c>
      <c r="CE100" s="162"/>
      <c r="CF100" s="140" t="b">
        <v>0</v>
      </c>
      <c r="CG100" s="2"/>
      <c r="CJ100" s="5"/>
      <c r="CK100" s="148"/>
      <c r="CQ100" s="5"/>
    </row>
    <row r="101" spans="2:95">
      <c r="B101" s="22" t="s">
        <v>265</v>
      </c>
      <c r="C101" s="19"/>
      <c r="D101" s="21">
        <f>IF('Toma de notas 60598'!F114=0,1,0)</f>
        <v>0</v>
      </c>
      <c r="E101" t="s">
        <v>246</v>
      </c>
      <c r="H101" s="5"/>
      <c r="J101" s="148"/>
      <c r="P101" s="5"/>
      <c r="BU101" s="113" t="b">
        <f>IF('Toma de notas 60598'!G871&lt;&gt;0,TRUE,FALSE)</f>
        <v>0</v>
      </c>
      <c r="BV101" t="s">
        <v>931</v>
      </c>
      <c r="BY101">
        <f>'Toma de notas 60598'!G871*1440</f>
        <v>0</v>
      </c>
      <c r="BZ101" t="s">
        <v>926</v>
      </c>
      <c r="CD101" s="161" t="s">
        <v>746</v>
      </c>
      <c r="CE101" s="162"/>
      <c r="CF101" s="140" t="b">
        <f>OR(CF100,NOT(CF89))</f>
        <v>1</v>
      </c>
      <c r="CG101" s="2" t="s">
        <v>668</v>
      </c>
      <c r="CJ101" s="5"/>
      <c r="CK101" s="148"/>
      <c r="CQ101" s="5"/>
    </row>
    <row r="102" spans="2:95">
      <c r="B102" s="148"/>
      <c r="H102" s="5"/>
      <c r="J102" s="170" t="s">
        <v>265</v>
      </c>
      <c r="K102" s="9"/>
      <c r="L102" s="21">
        <f>IF('Toma de notas 60598'!F151=0,1,0)</f>
        <v>1</v>
      </c>
      <c r="M102" t="s">
        <v>246</v>
      </c>
      <c r="P102" s="5"/>
      <c r="BU102" s="113" t="b">
        <f>IF('Toma de notas 60598'!G872&lt;&gt;0,TRUE,FALSE)</f>
        <v>0</v>
      </c>
      <c r="BV102" t="s">
        <v>932</v>
      </c>
      <c r="BY102">
        <f>'Toma de notas 60598'!G872*1440</f>
        <v>0</v>
      </c>
      <c r="BZ102" t="s">
        <v>927</v>
      </c>
      <c r="CD102" s="187"/>
      <c r="CE102" s="2"/>
      <c r="CF102" s="2"/>
      <c r="CG102" s="2"/>
      <c r="CJ102" s="5"/>
      <c r="CK102" s="148"/>
      <c r="CQ102" s="5"/>
    </row>
    <row r="103" spans="2:95">
      <c r="B103" s="22" t="s">
        <v>1113</v>
      </c>
      <c r="C103" s="19"/>
      <c r="D103" s="113" t="b">
        <f>'Toma de notas 60598'!B116</f>
        <v>1</v>
      </c>
      <c r="H103" s="5"/>
      <c r="J103" s="148"/>
      <c r="P103" s="5"/>
      <c r="BU103" s="140" t="b">
        <f>IF(OR((BY102-BY101)&lt;58,(BY102-BY101)&gt;62),FALSE,TRUE)</f>
        <v>0</v>
      </c>
      <c r="BV103" t="s">
        <v>933</v>
      </c>
      <c r="CD103" s="161" t="s">
        <v>743</v>
      </c>
      <c r="CE103" s="162"/>
      <c r="CF103" s="140">
        <f>IF('Toma de notas 60598'!$F$489=0,1,0)</f>
        <v>1</v>
      </c>
      <c r="CG103" s="2" t="s">
        <v>676</v>
      </c>
      <c r="CJ103" s="5"/>
      <c r="CK103" s="148"/>
      <c r="CQ103" s="5"/>
    </row>
    <row r="104" spans="2:95">
      <c r="B104" s="148"/>
      <c r="H104" s="5"/>
      <c r="J104" s="148"/>
      <c r="P104" s="5"/>
      <c r="CD104" s="187"/>
      <c r="CE104" s="2"/>
      <c r="CF104" s="2"/>
      <c r="CG104" s="2"/>
      <c r="CJ104" s="5"/>
      <c r="CK104" s="148"/>
      <c r="CQ104" s="5"/>
    </row>
    <row r="105" spans="2:95">
      <c r="B105" s="148"/>
      <c r="H105" s="5"/>
      <c r="J105" s="170" t="s">
        <v>243</v>
      </c>
      <c r="K105" s="9"/>
      <c r="L105" s="113" t="b">
        <f>IF(L100=TRUE,FALSE,OR(L102))</f>
        <v>0</v>
      </c>
      <c r="P105" s="5"/>
      <c r="BU105" s="140" t="b">
        <f>IF('Toma de notas 60598'!G868&lt;&gt;0,TRUE,FALSE)</f>
        <v>0</v>
      </c>
      <c r="BV105" t="s">
        <v>934</v>
      </c>
      <c r="CD105" s="161" t="s">
        <v>744</v>
      </c>
      <c r="CE105" s="162"/>
      <c r="CF105" s="140" t="b">
        <f>IF(CF101=TRUE,FALSE,IF(CF103=1,TRUE,FALSE))</f>
        <v>0</v>
      </c>
      <c r="CG105" s="2"/>
      <c r="CJ105" s="5"/>
      <c r="CK105" s="148"/>
      <c r="CQ105" s="5"/>
    </row>
    <row r="106" spans="2:95">
      <c r="B106" s="148"/>
      <c r="H106" s="5"/>
      <c r="J106" s="148"/>
      <c r="P106" s="5"/>
      <c r="CD106" s="148"/>
      <c r="CJ106" s="5"/>
      <c r="CK106" s="148"/>
      <c r="CQ106" s="5"/>
    </row>
    <row r="107" spans="2:95">
      <c r="B107" s="148"/>
      <c r="H107" s="5"/>
      <c r="J107" s="148"/>
      <c r="P107" s="5"/>
      <c r="BU107" s="140" t="b">
        <f>AND(BU99,BU103,BU105)</f>
        <v>0</v>
      </c>
      <c r="BV107" t="s">
        <v>935</v>
      </c>
      <c r="CD107" s="148"/>
      <c r="CJ107" s="5"/>
      <c r="CK107" s="148"/>
      <c r="CQ107" s="5"/>
    </row>
    <row r="108" spans="2:95">
      <c r="B108" s="22" t="s">
        <v>994</v>
      </c>
      <c r="C108" s="19"/>
      <c r="D108" s="113" t="b">
        <v>1</v>
      </c>
      <c r="E108" t="s">
        <v>302</v>
      </c>
      <c r="H108" s="5"/>
      <c r="J108" s="148"/>
      <c r="P108" s="5"/>
      <c r="CD108" s="153" t="s">
        <v>747</v>
      </c>
      <c r="CE108" s="179"/>
      <c r="CF108" s="113" t="b">
        <f>OR(CF96,CF105)</f>
        <v>0</v>
      </c>
      <c r="CJ108" s="5"/>
      <c r="CK108" s="148"/>
      <c r="CQ108" s="5"/>
    </row>
    <row r="109" spans="2:95">
      <c r="B109" s="22" t="s">
        <v>995</v>
      </c>
      <c r="C109" s="19"/>
      <c r="D109" s="113" t="b">
        <v>0</v>
      </c>
      <c r="E109" t="s">
        <v>302</v>
      </c>
      <c r="H109" s="5"/>
      <c r="J109" s="148"/>
      <c r="P109" s="5"/>
      <c r="CD109" s="187"/>
      <c r="CE109" s="2"/>
      <c r="CF109" s="166"/>
      <c r="CJ109" s="5"/>
      <c r="CK109" s="148"/>
      <c r="CQ109" s="5"/>
    </row>
    <row r="110" spans="2:95">
      <c r="B110" s="22" t="s">
        <v>300</v>
      </c>
      <c r="C110" s="19"/>
      <c r="D110" s="113" t="b">
        <f>IF(D108+D109=0,FALSE,TRUE)</f>
        <v>1</v>
      </c>
      <c r="E110" t="s">
        <v>301</v>
      </c>
      <c r="H110" s="5"/>
      <c r="J110" s="148"/>
      <c r="P110" s="5"/>
      <c r="BU110" s="2" t="s">
        <v>936</v>
      </c>
      <c r="CD110" s="187"/>
      <c r="CE110" s="2"/>
      <c r="CF110" s="166"/>
      <c r="CJ110" s="5"/>
      <c r="CK110" s="148"/>
      <c r="CQ110" s="5"/>
    </row>
    <row r="111" spans="2:95">
      <c r="B111" s="148"/>
      <c r="H111" s="5"/>
      <c r="J111" s="148"/>
      <c r="P111" s="5"/>
      <c r="BU111" s="140" t="b">
        <f>AND('Toma de notas 60598'!B875,'Toma de notas 60598'!B876,'Toma de notas 60598'!B880,'Toma de notas 60598'!B884)</f>
        <v>0</v>
      </c>
      <c r="BV111" t="s">
        <v>937</v>
      </c>
      <c r="CD111" s="187"/>
      <c r="CE111" s="2"/>
      <c r="CF111" s="166"/>
      <c r="CJ111" s="5"/>
      <c r="CK111" s="148"/>
      <c r="CQ111" s="5"/>
    </row>
    <row r="112" spans="2:95">
      <c r="B112" s="22" t="s">
        <v>1114</v>
      </c>
      <c r="C112" s="19"/>
      <c r="D112" s="113" t="b">
        <f>IF(D99=TRUE,FALSE,OR(D101,IF(OR(D110=FALSE,B119=FALSE,B125=FALSE),TRUE,FALSE)))</f>
        <v>0</v>
      </c>
      <c r="H112" s="5"/>
      <c r="J112" s="148"/>
      <c r="P112" s="5"/>
      <c r="CD112" s="187"/>
      <c r="CE112" s="2"/>
      <c r="CF112" s="166"/>
      <c r="CJ112" s="5"/>
      <c r="CK112" s="148"/>
      <c r="CQ112" s="5"/>
    </row>
    <row r="113" spans="2:95">
      <c r="B113" s="148"/>
      <c r="H113" s="5"/>
      <c r="J113" s="148"/>
      <c r="P113" s="5"/>
      <c r="BU113" s="2" t="s">
        <v>938</v>
      </c>
      <c r="CD113" s="187"/>
      <c r="CE113" s="2"/>
      <c r="CF113" s="166"/>
      <c r="CJ113" s="5"/>
      <c r="CK113" s="148"/>
      <c r="CQ113" s="5"/>
    </row>
    <row r="114" spans="2:95">
      <c r="B114" s="148"/>
      <c r="H114" s="5"/>
      <c r="J114" s="148"/>
      <c r="P114" s="5"/>
      <c r="BU114" s="113" t="b">
        <f>IF(OR('Toma de notas 60598'!G886&lt;15,'Toma de notas 60598'!G886&gt;25),FALSE,TRUE)</f>
        <v>0</v>
      </c>
      <c r="BV114" t="s">
        <v>939</v>
      </c>
      <c r="CD114" s="187"/>
      <c r="CE114" s="2"/>
      <c r="CF114" s="166"/>
      <c r="CJ114" s="5"/>
      <c r="CK114" s="148"/>
      <c r="CQ114" s="5"/>
    </row>
    <row r="115" spans="2:95">
      <c r="B115" s="187" t="s">
        <v>925</v>
      </c>
      <c r="H115" s="5"/>
      <c r="J115" s="148"/>
      <c r="P115" s="5"/>
      <c r="BU115" s="113" t="b">
        <f>IF(OR('Toma de notas 60598'!G887&lt;4,'Toma de notas 60598'!G887&gt;8),FALSE,TRUE)</f>
        <v>0</v>
      </c>
      <c r="BV115" t="s">
        <v>940</v>
      </c>
      <c r="CD115" s="187"/>
      <c r="CE115" s="2"/>
      <c r="CF115" s="166"/>
      <c r="CJ115" s="5"/>
      <c r="CK115" s="148"/>
      <c r="CQ115" s="5"/>
    </row>
    <row r="116" spans="2:95">
      <c r="B116" s="187" t="s">
        <v>982</v>
      </c>
      <c r="H116" s="5"/>
      <c r="J116" s="148"/>
      <c r="P116" s="5"/>
      <c r="BU116" s="140" t="b">
        <f>AND(BU114:BU115)</f>
        <v>0</v>
      </c>
      <c r="BV116" t="s">
        <v>941</v>
      </c>
      <c r="CD116" s="187"/>
      <c r="CE116" s="2"/>
      <c r="CF116" s="166"/>
      <c r="CJ116" s="5"/>
      <c r="CK116" s="148"/>
      <c r="CQ116" s="5"/>
    </row>
    <row r="117" spans="2:95">
      <c r="B117" s="156" t="b">
        <f>IF(H117&gt;=2,TRUE,FALSE)</f>
        <v>0</v>
      </c>
      <c r="C117" t="s">
        <v>983</v>
      </c>
      <c r="H117" s="361">
        <f>'Toma de notas 60598'!G124-'Toma de notas 60598'!G122</f>
        <v>0</v>
      </c>
      <c r="J117" s="148"/>
      <c r="P117" s="5"/>
      <c r="CD117" s="187"/>
      <c r="CE117" s="2"/>
      <c r="CF117" s="166"/>
      <c r="CJ117" s="5"/>
      <c r="CK117" s="148"/>
      <c r="CQ117" s="5"/>
    </row>
    <row r="118" spans="2:95">
      <c r="B118" s="156" t="b">
        <f>IF(H118&gt;=0,TRUE,FALSE)</f>
        <v>1</v>
      </c>
      <c r="C118" t="s">
        <v>954</v>
      </c>
      <c r="H118" s="361">
        <f>'Toma de notas 60598'!G125-'Toma de notas 60598'!G123</f>
        <v>0</v>
      </c>
      <c r="J118" s="148"/>
      <c r="P118" s="5"/>
      <c r="BU118" s="2" t="s">
        <v>952</v>
      </c>
      <c r="CD118" s="187"/>
      <c r="CE118" s="2"/>
      <c r="CF118" s="166"/>
      <c r="CJ118" s="5"/>
      <c r="CK118" s="148"/>
      <c r="CQ118" s="5"/>
    </row>
    <row r="119" spans="2:95">
      <c r="B119" s="518" t="b">
        <f>IF(OR(D103,AND(B117,B118)),TRUE,IF(H117&gt;2,TRUE,FALSE))</f>
        <v>1</v>
      </c>
      <c r="C119" t="s">
        <v>984</v>
      </c>
      <c r="H119" s="5"/>
      <c r="J119" s="148"/>
      <c r="P119" s="5"/>
      <c r="BU119" s="113" t="b">
        <f>IF(CA119&gt;=1,TRUE,FALSE)</f>
        <v>0</v>
      </c>
      <c r="BV119" t="s">
        <v>953</v>
      </c>
      <c r="CA119" s="21">
        <f>'Toma de notas 60598'!G856-'Toma de notas 60598'!G854</f>
        <v>0</v>
      </c>
      <c r="CD119" s="187"/>
      <c r="CE119" s="2"/>
      <c r="CF119" s="166"/>
      <c r="CJ119" s="5"/>
      <c r="CK119" s="148"/>
      <c r="CQ119" s="5"/>
    </row>
    <row r="120" spans="2:95">
      <c r="B120" s="519"/>
      <c r="C120" t="s">
        <v>1115</v>
      </c>
      <c r="H120" s="5"/>
      <c r="J120" s="148"/>
      <c r="P120" s="5"/>
      <c r="BU120" s="113" t="b">
        <f>IF(CA120&gt;=0,TRUE,FALSE)</f>
        <v>1</v>
      </c>
      <c r="BV120" t="s">
        <v>954</v>
      </c>
      <c r="CA120" s="21">
        <f>('Toma de notas 60598'!G857-'Toma de notas 60598'!G855)*1440</f>
        <v>0</v>
      </c>
      <c r="CD120" s="187"/>
      <c r="CE120" s="2"/>
      <c r="CF120" s="166"/>
      <c r="CJ120" s="5"/>
      <c r="CK120" s="148"/>
      <c r="CQ120" s="5"/>
    </row>
    <row r="121" spans="2:95">
      <c r="B121" s="519"/>
      <c r="H121" s="5"/>
      <c r="J121" s="148"/>
      <c r="P121" s="5"/>
      <c r="BU121" s="140" t="b">
        <f>IF(AND(BU119,BU120),TRUE,IF(CA119&gt;1,TRUE,FALSE))</f>
        <v>0</v>
      </c>
      <c r="BV121" t="s">
        <v>955</v>
      </c>
      <c r="CD121" s="187"/>
      <c r="CE121" s="2"/>
      <c r="CF121" s="166"/>
      <c r="CJ121" s="5"/>
      <c r="CK121" s="148"/>
      <c r="CQ121" s="5"/>
    </row>
    <row r="122" spans="2:95">
      <c r="B122" s="187" t="s">
        <v>985</v>
      </c>
      <c r="H122" s="5"/>
      <c r="J122" s="148"/>
      <c r="P122" s="5"/>
      <c r="CD122" s="187"/>
      <c r="CE122" s="2"/>
      <c r="CF122" s="166"/>
      <c r="CJ122" s="5"/>
      <c r="CK122" s="148"/>
      <c r="CQ122" s="5"/>
    </row>
    <row r="123" spans="2:95">
      <c r="B123" s="156" t="b">
        <f>IF(H123&gt;=10,TRUE,FALSE)</f>
        <v>0</v>
      </c>
      <c r="C123" t="s">
        <v>983</v>
      </c>
      <c r="H123" s="361">
        <f>'Toma de notas 60598'!G134-'Toma de notas 60598'!G132</f>
        <v>0</v>
      </c>
      <c r="J123" s="148"/>
      <c r="P123" s="5"/>
      <c r="CD123" s="187"/>
      <c r="CE123" s="2"/>
      <c r="CF123" s="166"/>
      <c r="CJ123" s="5"/>
      <c r="CK123" s="148"/>
      <c r="CQ123" s="5"/>
    </row>
    <row r="124" spans="2:95">
      <c r="B124" s="156" t="b">
        <f>IF(H124&gt;=0,TRUE,FALSE)</f>
        <v>1</v>
      </c>
      <c r="C124" t="s">
        <v>954</v>
      </c>
      <c r="H124" s="361">
        <f>'Toma de notas 60598'!G135-'Toma de notas 60598'!G133</f>
        <v>0</v>
      </c>
      <c r="J124" s="148"/>
      <c r="P124" s="5"/>
      <c r="BU124" s="77" t="s">
        <v>942</v>
      </c>
      <c r="BV124" s="77"/>
      <c r="BW124" s="76"/>
      <c r="BX124" s="76"/>
      <c r="BY124" s="76"/>
      <c r="CD124" s="148"/>
      <c r="CJ124" s="5"/>
      <c r="CK124" s="148"/>
      <c r="CQ124" s="5"/>
    </row>
    <row r="125" spans="2:95">
      <c r="B125" s="518" t="b">
        <f>IF(OR(D103,AND(B123,B124)),TRUE,IF(H123&gt;10,TRUE,FALSE))</f>
        <v>1</v>
      </c>
      <c r="C125" t="s">
        <v>984</v>
      </c>
      <c r="H125" s="5"/>
      <c r="J125" s="148"/>
      <c r="P125" s="5"/>
      <c r="BU125" s="140" t="b">
        <f>AND(BU116,BU111,BU107,BU105,BU103,BU99,BU94,BU88,BU85,BU83,BU121)</f>
        <v>0</v>
      </c>
      <c r="BV125" s="77" t="s">
        <v>943</v>
      </c>
      <c r="BW125" s="76"/>
      <c r="BX125" s="76"/>
      <c r="BY125" s="76"/>
      <c r="CD125" s="148"/>
      <c r="CJ125" s="5"/>
      <c r="CK125" s="148"/>
      <c r="CQ125" s="5"/>
    </row>
    <row r="126" spans="2:95">
      <c r="B126" s="520"/>
      <c r="H126" s="5"/>
      <c r="J126" s="148"/>
      <c r="P126" s="5"/>
      <c r="CD126" s="148"/>
      <c r="CJ126" s="5"/>
      <c r="CK126" s="148"/>
      <c r="CQ126" s="5"/>
    </row>
    <row r="127" spans="2:95">
      <c r="B127" s="148"/>
      <c r="H127" s="5"/>
      <c r="J127" s="148"/>
      <c r="P127" s="5"/>
      <c r="CD127" s="148"/>
      <c r="CJ127" s="5"/>
      <c r="CK127" s="148"/>
      <c r="CQ127" s="5"/>
    </row>
    <row r="128" spans="2:95">
      <c r="B128" s="148"/>
      <c r="H128" s="5"/>
      <c r="J128" s="148"/>
      <c r="P128" s="5"/>
      <c r="CD128" s="148"/>
      <c r="CJ128" s="5"/>
      <c r="CK128" s="148"/>
      <c r="CQ128" s="5"/>
    </row>
    <row r="129" spans="2:95" ht="15" thickBot="1">
      <c r="B129" s="149"/>
      <c r="C129" s="7"/>
      <c r="D129" s="7"/>
      <c r="E129" s="7"/>
      <c r="F129" s="7"/>
      <c r="G129" s="7"/>
      <c r="H129" s="1"/>
      <c r="J129" s="149"/>
      <c r="K129" s="7"/>
      <c r="L129" s="7"/>
      <c r="M129" s="7"/>
      <c r="N129" s="7"/>
      <c r="O129" s="7"/>
      <c r="P129" s="1"/>
      <c r="BU129" s="179" t="s">
        <v>1196</v>
      </c>
      <c r="BV129" s="179" t="s">
        <v>971</v>
      </c>
      <c r="BW129" s="179"/>
      <c r="BX129" s="179"/>
      <c r="BY129" s="179"/>
      <c r="BZ129" s="179"/>
      <c r="CA129" s="179"/>
      <c r="CB129" s="179"/>
      <c r="CD129" s="149"/>
      <c r="CE129" s="7"/>
      <c r="CF129" s="7"/>
      <c r="CG129" s="7"/>
      <c r="CH129" s="7"/>
      <c r="CI129" s="7"/>
      <c r="CJ129" s="1"/>
      <c r="CK129" s="149"/>
      <c r="CL129" s="7"/>
      <c r="CM129" s="7"/>
      <c r="CN129" s="7"/>
      <c r="CO129" s="7"/>
      <c r="CP129" s="7"/>
      <c r="CQ129" s="1"/>
    </row>
    <row r="130" spans="2:95" ht="15.6">
      <c r="CD130" s="141" t="s">
        <v>716</v>
      </c>
    </row>
    <row r="131" spans="2:95" ht="15" thickBot="1">
      <c r="BU131" s="2" t="s">
        <v>952</v>
      </c>
    </row>
    <row r="132" spans="2:95" ht="15.6">
      <c r="B132" s="141" t="s">
        <v>1143</v>
      </c>
      <c r="C132" s="142"/>
      <c r="D132" s="142"/>
      <c r="E132" s="142"/>
      <c r="F132" s="142"/>
      <c r="G132" s="142"/>
      <c r="H132" s="142"/>
      <c r="I132" s="142"/>
      <c r="J132" s="142"/>
      <c r="K132" s="142"/>
      <c r="L132" s="142"/>
      <c r="M132" s="142"/>
      <c r="N132" s="142"/>
      <c r="O132" s="142"/>
      <c r="P132" s="143"/>
      <c r="BU132" s="113" t="b">
        <f>IF(CA132&gt;=1,TRUE,FALSE)</f>
        <v>0</v>
      </c>
      <c r="BV132" t="s">
        <v>953</v>
      </c>
      <c r="CA132" s="21">
        <f>'Toma de notas 60598'!G921-'Toma de notas 60598'!G919</f>
        <v>0</v>
      </c>
      <c r="CD132" s="161" t="s">
        <v>666</v>
      </c>
      <c r="CE132" s="162"/>
      <c r="CF132" s="140" t="b">
        <f>M6</f>
        <v>0</v>
      </c>
      <c r="CG132" s="2"/>
    </row>
    <row r="133" spans="2:95">
      <c r="B133" s="148"/>
      <c r="P133" s="5"/>
      <c r="BU133" s="113" t="b">
        <f>IF(CA133&gt;=0,TRUE,FALSE)</f>
        <v>1</v>
      </c>
      <c r="BV133" t="s">
        <v>954</v>
      </c>
      <c r="CA133" s="21">
        <f>'Toma de notas 60598'!G922-'Toma de notas 60598'!G920</f>
        <v>0</v>
      </c>
      <c r="CD133" s="187"/>
      <c r="CE133" s="2"/>
      <c r="CF133" s="2"/>
      <c r="CG133" s="2"/>
    </row>
    <row r="134" spans="2:95">
      <c r="B134" s="171" t="s">
        <v>274</v>
      </c>
      <c r="C134" s="76"/>
      <c r="D134" s="140" t="b">
        <f>K39</f>
        <v>0</v>
      </c>
      <c r="J134" s="76" t="s">
        <v>311</v>
      </c>
      <c r="K134" s="76"/>
      <c r="L134" s="76"/>
      <c r="P134" s="5"/>
      <c r="BU134" s="140" t="b">
        <f>IF(AND(BU132,BU133),TRUE,IF(CA132&gt;1,TRUE,FALSE))</f>
        <v>0</v>
      </c>
      <c r="BV134" t="s">
        <v>955</v>
      </c>
      <c r="CD134" s="161" t="s">
        <v>792</v>
      </c>
      <c r="CE134" s="162"/>
      <c r="CF134" s="140" t="b">
        <v>0</v>
      </c>
      <c r="CG134" s="2"/>
    </row>
    <row r="135" spans="2:95">
      <c r="B135" s="171" t="s">
        <v>275</v>
      </c>
      <c r="C135" s="77"/>
      <c r="D135" s="140" t="b">
        <f>K44</f>
        <v>0</v>
      </c>
      <c r="J135" s="113" t="b">
        <v>0</v>
      </c>
      <c r="K135" s="113" t="b">
        <v>0</v>
      </c>
      <c r="L135" t="s">
        <v>324</v>
      </c>
      <c r="P135" s="5"/>
      <c r="CD135" s="161" t="s">
        <v>793</v>
      </c>
      <c r="CE135" s="162"/>
      <c r="CF135" s="140" t="b">
        <v>0</v>
      </c>
      <c r="CG135" t="s">
        <v>794</v>
      </c>
    </row>
    <row r="136" spans="2:95">
      <c r="B136" s="171" t="s">
        <v>276</v>
      </c>
      <c r="C136" s="77"/>
      <c r="D136" s="140" t="b">
        <f>OR(D134,D135)</f>
        <v>0</v>
      </c>
      <c r="E136" t="s">
        <v>277</v>
      </c>
      <c r="J136" s="113" t="b">
        <v>0</v>
      </c>
      <c r="K136" s="113" t="b">
        <v>0</v>
      </c>
      <c r="P136" s="5"/>
    </row>
    <row r="137" spans="2:95">
      <c r="B137" s="148"/>
      <c r="J137" s="113" t="b">
        <v>0</v>
      </c>
      <c r="K137" t="s">
        <v>325</v>
      </c>
      <c r="P137" s="5"/>
      <c r="BU137" s="140" t="b" cm="1">
        <f t="array" ref="BU137">AND(OR('Toma de notas 60598'!C927,'Toma de notas 60598'!D927:E927),IF('Toma de notas 60598'!C927&lt;&gt;'Toma de notas 60598'!D927:E927,TRUE,FALSE))</f>
        <v>0</v>
      </c>
      <c r="BV137" t="s">
        <v>977</v>
      </c>
      <c r="CD137" s="161" t="s">
        <v>795</v>
      </c>
      <c r="CE137" s="162"/>
      <c r="CF137" s="140" t="b">
        <f>OR(CF134,NOT(CF132),CF135)</f>
        <v>1</v>
      </c>
      <c r="CG137" s="2" t="s">
        <v>796</v>
      </c>
    </row>
    <row r="138" spans="2:95">
      <c r="B138" s="172" t="s">
        <v>265</v>
      </c>
      <c r="C138" s="76"/>
      <c r="D138" s="21">
        <f>IF('Toma de notas 60598'!F165=0,1,0)</f>
        <v>1</v>
      </c>
      <c r="E138" t="s">
        <v>246</v>
      </c>
      <c r="J138" s="18" t="s">
        <v>312</v>
      </c>
      <c r="K138" s="18"/>
      <c r="L138" s="113" t="b">
        <f>OR(J135,J136,J137,K135,K136)</f>
        <v>0</v>
      </c>
      <c r="P138" s="5"/>
      <c r="CD138" s="187"/>
      <c r="CE138" s="2"/>
      <c r="CF138" s="2"/>
      <c r="CG138" s="2"/>
    </row>
    <row r="139" spans="2:95">
      <c r="B139" s="148"/>
      <c r="J139" s="76" t="s">
        <v>313</v>
      </c>
      <c r="K139" s="76"/>
      <c r="L139" s="113" t="b">
        <f>NOT(L138)</f>
        <v>1</v>
      </c>
      <c r="P139" s="5"/>
      <c r="BU139" s="113" t="b">
        <f>IF('Toma de notas 60598'!G929&lt;&gt;0,TRUE,FALSE)</f>
        <v>0</v>
      </c>
      <c r="BV139" t="s">
        <v>974</v>
      </c>
      <c r="CD139" s="161" t="s">
        <v>733</v>
      </c>
      <c r="CE139" s="162"/>
      <c r="CF139" s="140">
        <f>IF('Toma de notas 60598'!F506=0,1,0)</f>
        <v>1</v>
      </c>
      <c r="CG139" s="2" t="s">
        <v>676</v>
      </c>
    </row>
    <row r="140" spans="2:95">
      <c r="B140" s="172" t="s">
        <v>305</v>
      </c>
      <c r="C140" s="76"/>
      <c r="D140" s="113" t="b">
        <v>0</v>
      </c>
      <c r="E140" t="s">
        <v>322</v>
      </c>
      <c r="P140" s="5"/>
      <c r="BU140" s="113" t="b">
        <f>'Toma de notas 60598'!G930</f>
        <v>0</v>
      </c>
      <c r="BV140" t="s">
        <v>975</v>
      </c>
      <c r="CD140" s="161" t="s">
        <v>798</v>
      </c>
      <c r="CE140" s="162"/>
      <c r="CF140" s="140">
        <f>IF(COUNTIF('Toma de notas 60598'!G511:N514,"&gt;=0")&gt;=4,0,1)</f>
        <v>1</v>
      </c>
      <c r="CG140" s="2" t="s">
        <v>799</v>
      </c>
    </row>
    <row r="141" spans="2:95">
      <c r="B141" s="172" t="s">
        <v>308</v>
      </c>
      <c r="C141" s="76"/>
      <c r="D141" s="113" t="b">
        <f>IF(COUNTIF('Toma de notas 60598'!G169:N178,"&gt;0")&gt;=1,TRUE,FALSE)</f>
        <v>0</v>
      </c>
      <c r="E141" t="s">
        <v>306</v>
      </c>
      <c r="P141" s="5"/>
      <c r="BU141" s="140" t="b">
        <f>IF(BU139&lt;&gt;BU140,TRUE,FALSE)</f>
        <v>0</v>
      </c>
      <c r="BV141" t="s">
        <v>976</v>
      </c>
      <c r="CG141" s="2"/>
    </row>
    <row r="142" spans="2:95">
      <c r="B142" s="148"/>
      <c r="J142" s="76" t="s">
        <v>316</v>
      </c>
      <c r="K142" s="76"/>
      <c r="L142" s="113" t="b">
        <v>0</v>
      </c>
      <c r="M142" t="s">
        <v>843</v>
      </c>
      <c r="P142" s="5"/>
      <c r="CD142" s="161" t="s">
        <v>800</v>
      </c>
      <c r="CE142" s="162"/>
      <c r="CF142" s="140" t="b">
        <f>IF(CF137=TRUE,FALSE,IF(OR(CF139=1,CF140=1),TRUE,FALSE))</f>
        <v>0</v>
      </c>
    </row>
    <row r="143" spans="2:95">
      <c r="B143" s="172" t="s">
        <v>307</v>
      </c>
      <c r="C143" s="76"/>
      <c r="D143" s="113" t="b">
        <f>IF(D140=TRUE,FALSE,IF(D141=TRUE,FALSE,TRUE))</f>
        <v>1</v>
      </c>
      <c r="J143" s="76" t="s">
        <v>317</v>
      </c>
      <c r="K143" s="76"/>
      <c r="L143" s="76"/>
      <c r="P143" s="5"/>
      <c r="CD143" s="148"/>
    </row>
    <row r="144" spans="2:95">
      <c r="B144" s="148"/>
      <c r="J144" s="113" t="b">
        <v>0</v>
      </c>
      <c r="K144" s="113" t="b">
        <v>0</v>
      </c>
      <c r="L144" s="113" t="b">
        <v>0</v>
      </c>
      <c r="M144" t="s">
        <v>318</v>
      </c>
      <c r="P144" s="5"/>
      <c r="BU144" s="179" t="s">
        <v>942</v>
      </c>
      <c r="BV144" s="179"/>
      <c r="BW144" s="18"/>
      <c r="BX144" s="18"/>
      <c r="BY144" s="18"/>
      <c r="CD144" s="148"/>
    </row>
    <row r="145" spans="2:85">
      <c r="B145" s="148"/>
      <c r="J145" s="113" t="b">
        <v>0</v>
      </c>
      <c r="K145" s="113" t="b">
        <v>0</v>
      </c>
      <c r="L145" s="113" t="b">
        <v>0</v>
      </c>
      <c r="M145" t="s">
        <v>319</v>
      </c>
      <c r="P145" s="5"/>
      <c r="BU145" s="140" t="b">
        <f>AND(BU134,BU137,BU141)</f>
        <v>0</v>
      </c>
      <c r="BV145" s="179" t="s">
        <v>943</v>
      </c>
      <c r="BW145" s="18"/>
      <c r="BX145" s="18"/>
      <c r="BY145" s="18"/>
      <c r="CD145" s="161" t="s">
        <v>801</v>
      </c>
      <c r="CE145" s="162"/>
      <c r="CF145" s="140" t="b">
        <v>0</v>
      </c>
      <c r="CG145" s="2"/>
    </row>
    <row r="146" spans="2:85">
      <c r="B146" s="172" t="s">
        <v>309</v>
      </c>
      <c r="C146" s="76"/>
      <c r="D146" s="113" t="b">
        <v>0</v>
      </c>
      <c r="E146" t="s">
        <v>321</v>
      </c>
      <c r="P146" s="5"/>
      <c r="CD146" s="161" t="s">
        <v>802</v>
      </c>
      <c r="CE146" s="162"/>
      <c r="CF146" s="140" t="b">
        <f>OR(CF145,NOT(CF132))</f>
        <v>1</v>
      </c>
      <c r="CG146" s="2" t="s">
        <v>668</v>
      </c>
    </row>
    <row r="147" spans="2:85">
      <c r="B147" s="172" t="s">
        <v>310</v>
      </c>
      <c r="C147" s="76"/>
      <c r="D147" s="113" t="b">
        <f>IF(COUNTIF('Toma de notas 60598'!G190:N195,"&gt;0")&gt;=1,TRUE,FALSE)</f>
        <v>0</v>
      </c>
      <c r="E147" t="s">
        <v>323</v>
      </c>
      <c r="J147" s="76" t="s">
        <v>320</v>
      </c>
      <c r="K147" s="76"/>
      <c r="L147" s="166" t="b">
        <f>OR(L142,J144,K144,L144,J145,K145,L145)</f>
        <v>0</v>
      </c>
      <c r="M147" t="s">
        <v>329</v>
      </c>
      <c r="P147" s="5"/>
      <c r="CD147" s="187"/>
      <c r="CE147" s="2"/>
      <c r="CF147" s="2"/>
      <c r="CG147" s="2"/>
    </row>
    <row r="148" spans="2:85">
      <c r="B148" s="148"/>
      <c r="J148" s="76" t="s">
        <v>229</v>
      </c>
      <c r="K148" s="76"/>
      <c r="L148" s="21">
        <f>COUNTIF(J144:L145,"VERDADERO")</f>
        <v>0</v>
      </c>
      <c r="M148" t="s">
        <v>326</v>
      </c>
      <c r="P148" s="5"/>
      <c r="CD148" s="161" t="s">
        <v>803</v>
      </c>
      <c r="CE148" s="162"/>
      <c r="CF148" s="140">
        <f>IF('Toma de notas 60598'!$F$523=0,1,0)</f>
        <v>1</v>
      </c>
      <c r="CG148" s="2" t="s">
        <v>676</v>
      </c>
    </row>
    <row r="149" spans="2:85">
      <c r="B149" s="172" t="s">
        <v>314</v>
      </c>
      <c r="C149" s="76"/>
      <c r="D149" s="113" t="b">
        <f>IF(D146=TRUE,FALSE,IF(D147=TRUE,FALSE,TRUE))</f>
        <v>1</v>
      </c>
      <c r="J149" s="76" t="s">
        <v>327</v>
      </c>
      <c r="K149" s="76"/>
      <c r="L149" s="21">
        <f>COUNTIF('Toma de notas 60598'!G220:N222,"&gt;0")</f>
        <v>0</v>
      </c>
      <c r="P149" s="5"/>
      <c r="CD149" s="161" t="s">
        <v>798</v>
      </c>
      <c r="CE149" s="162"/>
      <c r="CF149" s="140">
        <f>IF(COUNTIF('Toma de notas 60598'!$G$526:$N$528,"&gt;=0")&gt;=3,0,1)</f>
        <v>1</v>
      </c>
      <c r="CG149" s="2" t="s">
        <v>805</v>
      </c>
    </row>
    <row r="150" spans="2:85">
      <c r="B150" s="148"/>
      <c r="P150" s="5"/>
      <c r="CG150" s="2"/>
    </row>
    <row r="151" spans="2:85">
      <c r="B151" s="148"/>
      <c r="J151" s="76" t="s">
        <v>328</v>
      </c>
      <c r="K151" s="76"/>
      <c r="L151" s="113" t="b">
        <f>IF(L142=TRUE,FALSE,IF(AND(L147=TRUE,L149&gt;=L148),FALSE,TRUE))</f>
        <v>1</v>
      </c>
      <c r="P151" s="5"/>
      <c r="CD151" s="161" t="s">
        <v>804</v>
      </c>
      <c r="CE151" s="162"/>
      <c r="CF151" s="140" t="b">
        <f>IF(CF146=TRUE,FALSE,IF(OR(CF148=1,CF149=1),TRUE,FALSE))</f>
        <v>0</v>
      </c>
    </row>
    <row r="152" spans="2:85">
      <c r="B152" s="148"/>
      <c r="P152" s="5"/>
      <c r="CD152" s="148"/>
    </row>
    <row r="153" spans="2:85">
      <c r="B153" s="148"/>
      <c r="J153" s="76" t="s">
        <v>272</v>
      </c>
      <c r="K153" s="76"/>
      <c r="L153" s="113" t="b">
        <f>IF(D143+D149+L139+L151=4,FALSE,TRUE)</f>
        <v>0</v>
      </c>
      <c r="P153" s="5"/>
      <c r="CD153" s="148"/>
    </row>
    <row r="154" spans="2:85">
      <c r="B154" s="148"/>
      <c r="J154" s="76" t="s">
        <v>295</v>
      </c>
      <c r="K154" s="76"/>
      <c r="L154" s="113" t="b">
        <f>IF(D136=TRUE,FALSE,OR(D138,IF(L153=FALSE,TRUE,FALSE)))</f>
        <v>1</v>
      </c>
      <c r="P154" s="5"/>
      <c r="CD154" s="376" t="s">
        <v>806</v>
      </c>
      <c r="CE154" s="377"/>
      <c r="CF154" s="113" t="b">
        <f>OR(CF142,CF151)</f>
        <v>0</v>
      </c>
    </row>
    <row r="155" spans="2:85">
      <c r="B155" s="148"/>
      <c r="P155" s="5"/>
      <c r="CD155" s="148"/>
    </row>
    <row r="156" spans="2:85">
      <c r="B156" s="148"/>
      <c r="P156" s="5"/>
    </row>
    <row r="157" spans="2:85">
      <c r="B157" s="148"/>
      <c r="P157" s="5"/>
    </row>
    <row r="158" spans="2:85">
      <c r="B158" s="148"/>
      <c r="P158" s="5"/>
    </row>
    <row r="159" spans="2:85">
      <c r="B159" s="148"/>
      <c r="P159" s="5"/>
    </row>
    <row r="160" spans="2:85" ht="15" thickBot="1">
      <c r="B160" s="149"/>
      <c r="C160" s="7"/>
      <c r="D160" s="7"/>
      <c r="E160" s="7"/>
      <c r="F160" s="7"/>
      <c r="G160" s="7"/>
      <c r="H160" s="7"/>
      <c r="I160" s="7"/>
      <c r="J160" s="7"/>
      <c r="K160" s="7"/>
      <c r="L160" s="7"/>
      <c r="M160" s="7"/>
      <c r="N160" s="7"/>
      <c r="O160" s="7"/>
      <c r="P160" s="1"/>
    </row>
    <row r="162" spans="2:80" ht="15" thickBot="1"/>
    <row r="163" spans="2:80" ht="15.6">
      <c r="B163" s="141" t="s">
        <v>1144</v>
      </c>
      <c r="C163" s="142"/>
      <c r="D163" s="142"/>
      <c r="E163" s="142"/>
      <c r="F163" s="142"/>
      <c r="G163" s="142"/>
      <c r="H163" s="143"/>
      <c r="J163" s="141" t="s">
        <v>1148</v>
      </c>
      <c r="K163" s="142"/>
      <c r="L163" s="142"/>
      <c r="M163" s="142"/>
      <c r="N163" s="142"/>
      <c r="O163" s="142"/>
      <c r="P163" s="143"/>
      <c r="BU163" s="77" t="s">
        <v>1197</v>
      </c>
      <c r="BV163" s="77" t="s">
        <v>958</v>
      </c>
      <c r="BW163" s="77"/>
      <c r="BX163" s="77"/>
      <c r="BY163" s="77"/>
      <c r="BZ163" s="77"/>
      <c r="CA163" s="77"/>
      <c r="CB163" s="77"/>
    </row>
    <row r="164" spans="2:80">
      <c r="B164" s="148"/>
      <c r="H164" s="5"/>
      <c r="J164" s="148"/>
      <c r="P164" s="5"/>
    </row>
    <row r="165" spans="2:80">
      <c r="B165" s="169" t="s">
        <v>274</v>
      </c>
      <c r="C165" s="9"/>
      <c r="D165" s="140" t="b">
        <f>K39</f>
        <v>0</v>
      </c>
      <c r="H165" s="5"/>
      <c r="J165" s="150" t="s">
        <v>274</v>
      </c>
      <c r="K165" s="10"/>
      <c r="L165" s="140" t="b">
        <f>L97</f>
        <v>0</v>
      </c>
      <c r="P165" s="5"/>
      <c r="BU165" s="2" t="s">
        <v>952</v>
      </c>
    </row>
    <row r="166" spans="2:80">
      <c r="B166" s="169" t="s">
        <v>275</v>
      </c>
      <c r="C166" s="61"/>
      <c r="D166" s="140" t="b">
        <f>K48</f>
        <v>0</v>
      </c>
      <c r="H166" s="5"/>
      <c r="J166" s="150" t="s">
        <v>275</v>
      </c>
      <c r="K166" s="46"/>
      <c r="L166" s="140" t="b">
        <f>K50</f>
        <v>0</v>
      </c>
      <c r="P166" s="5"/>
      <c r="BU166" s="113" t="b">
        <f>IF(CA166&gt;=1,TRUE,FALSE)</f>
        <v>0</v>
      </c>
      <c r="BV166" t="s">
        <v>953</v>
      </c>
      <c r="CA166" s="21">
        <f>'Toma de notas 60598'!G971-'Toma de notas 60598'!G969</f>
        <v>0</v>
      </c>
    </row>
    <row r="167" spans="2:80">
      <c r="B167" s="169" t="s">
        <v>276</v>
      </c>
      <c r="C167" s="61"/>
      <c r="D167" s="140" t="b">
        <f>OR(D165,D166)</f>
        <v>0</v>
      </c>
      <c r="E167" t="s">
        <v>277</v>
      </c>
      <c r="H167" s="5"/>
      <c r="J167" s="150" t="s">
        <v>276</v>
      </c>
      <c r="K167" s="46"/>
      <c r="L167" s="140" t="b">
        <f>OR(L165,L166)</f>
        <v>0</v>
      </c>
      <c r="M167" t="s">
        <v>277</v>
      </c>
      <c r="P167" s="5"/>
      <c r="BU167" s="113" t="b">
        <f>IF(CA167&gt;=0,TRUE,FALSE)</f>
        <v>1</v>
      </c>
      <c r="BV167" t="s">
        <v>954</v>
      </c>
      <c r="CA167" s="21">
        <f>('Toma de notas 60598'!G972-'Toma de notas 60598'!G970)*1440</f>
        <v>0</v>
      </c>
    </row>
    <row r="168" spans="2:80">
      <c r="B168" s="148"/>
      <c r="H168" s="5"/>
      <c r="J168" s="148"/>
      <c r="P168" s="5"/>
      <c r="BU168" s="140" t="b">
        <f>IF(AND(BU166,BU167),TRUE,IF(CA166&gt;1,TRUE,FALSE))</f>
        <v>0</v>
      </c>
      <c r="BV168" t="s">
        <v>955</v>
      </c>
    </row>
    <row r="169" spans="2:80">
      <c r="B169" s="170" t="s">
        <v>265</v>
      </c>
      <c r="C169" s="9"/>
      <c r="D169" s="21">
        <f>IF('Toma de notas 60598'!F234=0,1,0)</f>
        <v>1</v>
      </c>
      <c r="E169" t="s">
        <v>246</v>
      </c>
      <c r="H169" s="5"/>
      <c r="J169" s="151" t="s">
        <v>265</v>
      </c>
      <c r="K169" s="10"/>
      <c r="L169" s="21">
        <f>IF('Toma de notas 60598'!F255=0,1,0)</f>
        <v>1</v>
      </c>
      <c r="M169" t="s">
        <v>246</v>
      </c>
      <c r="P169" s="5"/>
    </row>
    <row r="170" spans="2:80">
      <c r="B170" s="148"/>
      <c r="H170" s="5"/>
      <c r="J170" s="148"/>
      <c r="P170" s="5"/>
    </row>
    <row r="171" spans="2:80">
      <c r="B171" s="170" t="s">
        <v>243</v>
      </c>
      <c r="C171" s="9"/>
      <c r="D171" s="113" t="b">
        <f>IF(D167=TRUE,FALSE,IF(D169=1,TRUE,FALSE))</f>
        <v>1</v>
      </c>
      <c r="E171" t="s">
        <v>331</v>
      </c>
      <c r="H171" s="5"/>
      <c r="J171" s="151" t="s">
        <v>243</v>
      </c>
      <c r="K171" s="10"/>
      <c r="L171" s="113" t="b">
        <f>IF(L167=TRUE,FALSE,IF(L169=1,TRUE,FALSE))</f>
        <v>1</v>
      </c>
      <c r="M171" t="s">
        <v>331</v>
      </c>
      <c r="P171" s="5"/>
    </row>
    <row r="172" spans="2:80">
      <c r="B172" s="148"/>
      <c r="H172" s="5"/>
      <c r="J172" s="148"/>
      <c r="L172" s="166"/>
      <c r="P172" s="5"/>
    </row>
    <row r="173" spans="2:80">
      <c r="B173" s="148"/>
      <c r="H173" s="5"/>
      <c r="J173" s="148"/>
      <c r="L173" s="166"/>
      <c r="P173" s="5"/>
    </row>
    <row r="174" spans="2:80">
      <c r="B174" s="148"/>
      <c r="H174" s="5"/>
      <c r="J174" s="148"/>
      <c r="P174" s="5"/>
    </row>
    <row r="175" spans="2:80">
      <c r="B175" s="148"/>
      <c r="H175" s="5"/>
      <c r="J175" s="148"/>
      <c r="P175" s="5"/>
    </row>
    <row r="176" spans="2:80">
      <c r="B176" s="148"/>
      <c r="H176" s="5"/>
      <c r="J176" s="148"/>
      <c r="P176" s="5"/>
    </row>
    <row r="177" spans="2:16">
      <c r="B177" s="148"/>
      <c r="H177" s="5"/>
      <c r="J177" s="148"/>
      <c r="P177" s="5"/>
    </row>
    <row r="178" spans="2:16">
      <c r="B178" s="148"/>
      <c r="H178" s="5"/>
      <c r="J178" s="148"/>
      <c r="P178" s="5"/>
    </row>
    <row r="179" spans="2:16" ht="15" thickBot="1">
      <c r="B179" s="149"/>
      <c r="C179" s="7"/>
      <c r="D179" s="7"/>
      <c r="E179" s="7"/>
      <c r="F179" s="7"/>
      <c r="G179" s="7"/>
      <c r="H179" s="1"/>
      <c r="J179" s="149"/>
      <c r="K179" s="7"/>
      <c r="L179" s="7"/>
      <c r="M179" s="7"/>
      <c r="N179" s="7"/>
      <c r="O179" s="7"/>
      <c r="P179" s="1"/>
    </row>
    <row r="181" spans="2:16" ht="15" thickBot="1"/>
    <row r="182" spans="2:16" ht="15.6">
      <c r="B182" s="141" t="s">
        <v>1150</v>
      </c>
      <c r="C182" s="142"/>
      <c r="D182" s="142"/>
      <c r="E182" s="142"/>
      <c r="F182" s="142"/>
      <c r="G182" s="142"/>
      <c r="H182" s="143"/>
      <c r="J182" s="141" t="s">
        <v>1151</v>
      </c>
      <c r="K182" s="142"/>
      <c r="L182" s="142"/>
      <c r="M182" s="142"/>
      <c r="N182" s="142"/>
      <c r="O182" s="142"/>
      <c r="P182" s="143"/>
    </row>
    <row r="183" spans="2:16">
      <c r="B183" s="148"/>
      <c r="H183" s="5"/>
      <c r="J183" s="148"/>
      <c r="P183" s="5"/>
    </row>
    <row r="184" spans="2:16">
      <c r="B184" s="169" t="s">
        <v>274</v>
      </c>
      <c r="C184" s="9"/>
      <c r="D184" s="140" t="b">
        <f>K39</f>
        <v>0</v>
      </c>
      <c r="H184" s="5"/>
      <c r="J184" s="161" t="s">
        <v>274</v>
      </c>
      <c r="K184" s="34"/>
      <c r="L184" s="140" t="b">
        <f>K39</f>
        <v>0</v>
      </c>
      <c r="P184" s="5"/>
    </row>
    <row r="185" spans="2:16">
      <c r="B185" s="169" t="s">
        <v>275</v>
      </c>
      <c r="C185" s="61"/>
      <c r="D185" s="140" t="b">
        <f>K51</f>
        <v>0</v>
      </c>
      <c r="H185" s="5"/>
      <c r="J185" s="161" t="s">
        <v>275</v>
      </c>
      <c r="K185" s="162"/>
      <c r="L185" s="140" t="b">
        <f>K52</f>
        <v>0</v>
      </c>
      <c r="P185" s="5"/>
    </row>
    <row r="186" spans="2:16">
      <c r="B186" s="169" t="s">
        <v>276</v>
      </c>
      <c r="C186" s="61"/>
      <c r="D186" s="140" t="b">
        <f>OR(D184,D185)</f>
        <v>0</v>
      </c>
      <c r="E186" t="s">
        <v>277</v>
      </c>
      <c r="H186" s="5"/>
      <c r="J186" s="161" t="s">
        <v>276</v>
      </c>
      <c r="K186" s="162"/>
      <c r="L186" s="140" t="b">
        <f>OR(L184,L185)</f>
        <v>0</v>
      </c>
      <c r="P186" s="5"/>
    </row>
    <row r="187" spans="2:16">
      <c r="B187" s="148"/>
      <c r="H187" s="5"/>
      <c r="J187" s="148"/>
      <c r="P187" s="5"/>
    </row>
    <row r="188" spans="2:16">
      <c r="B188" s="170" t="s">
        <v>265</v>
      </c>
      <c r="C188" s="9"/>
      <c r="D188" s="21">
        <f>IF('Toma de notas 60598'!F268=0,1,0)</f>
        <v>1</v>
      </c>
      <c r="E188" t="s">
        <v>246</v>
      </c>
      <c r="H188" s="5"/>
      <c r="J188" s="163" t="s">
        <v>265</v>
      </c>
      <c r="K188" s="34"/>
      <c r="L188" s="21">
        <f>IF('Toma de notas 60598'!F291=0,1,0)</f>
        <v>1</v>
      </c>
      <c r="P188" s="5"/>
    </row>
    <row r="189" spans="2:16">
      <c r="B189" s="148"/>
      <c r="H189" s="5"/>
      <c r="J189" s="148"/>
      <c r="P189" s="5"/>
    </row>
    <row r="190" spans="2:16">
      <c r="B190" s="170" t="s">
        <v>32</v>
      </c>
      <c r="C190" s="113" t="b">
        <v>1</v>
      </c>
      <c r="D190" s="170" t="s">
        <v>839</v>
      </c>
      <c r="E190" s="113" t="b">
        <v>0</v>
      </c>
      <c r="F190" s="170" t="s">
        <v>755</v>
      </c>
      <c r="G190" s="113" t="b">
        <v>0</v>
      </c>
      <c r="H190" s="5"/>
      <c r="J190" s="163" t="s">
        <v>344</v>
      </c>
      <c r="K190" s="34"/>
      <c r="L190" s="113" t="b">
        <f>IF(COUNTIF('Toma de notas 60598'!G293:N294,"&gt;0")&gt;=2,TRUE,FALSE)</f>
        <v>0</v>
      </c>
      <c r="P190" s="5"/>
    </row>
    <row r="191" spans="2:16">
      <c r="B191" s="148"/>
      <c r="H191" s="5"/>
      <c r="J191" s="148"/>
      <c r="P191" s="5"/>
    </row>
    <row r="192" spans="2:16">
      <c r="B192" s="170" t="s">
        <v>333</v>
      </c>
      <c r="C192" s="9"/>
      <c r="D192" s="113" t="b">
        <v>1</v>
      </c>
      <c r="E192" t="s">
        <v>336</v>
      </c>
      <c r="H192" s="5"/>
      <c r="J192" s="163" t="s">
        <v>243</v>
      </c>
      <c r="K192" s="34"/>
      <c r="L192" s="113" t="b">
        <f>IF(L186=TRUE,FALSE,IF(OR(L188=1,L190=FALSE),TRUE,FALSE))</f>
        <v>1</v>
      </c>
      <c r="M192" t="s">
        <v>331</v>
      </c>
      <c r="P192" s="5"/>
    </row>
    <row r="193" spans="2:16">
      <c r="B193" s="170" t="s">
        <v>334</v>
      </c>
      <c r="C193" s="9"/>
      <c r="D193" s="113" t="b">
        <v>0</v>
      </c>
      <c r="E193" t="s">
        <v>336</v>
      </c>
      <c r="H193" s="5"/>
      <c r="J193" s="148"/>
      <c r="P193" s="5"/>
    </row>
    <row r="194" spans="2:16">
      <c r="B194" s="170" t="s">
        <v>338</v>
      </c>
      <c r="C194" s="9"/>
      <c r="D194" s="112" t="b">
        <f>OR(D192,D193)</f>
        <v>1</v>
      </c>
      <c r="E194" t="s">
        <v>339</v>
      </c>
      <c r="H194" s="5"/>
      <c r="J194" s="148"/>
      <c r="P194" s="5"/>
    </row>
    <row r="195" spans="2:16">
      <c r="B195" s="148"/>
      <c r="H195" s="5"/>
      <c r="J195" s="148"/>
      <c r="P195" s="5"/>
    </row>
    <row r="196" spans="2:16">
      <c r="B196" s="170" t="s">
        <v>335</v>
      </c>
      <c r="C196" s="9"/>
      <c r="D196" s="113" t="b">
        <f>IF(COUNTIF('Toma de notas 60598'!G278:N280,"&gt;=0")&gt;=3,TRUE,FALSE)</f>
        <v>0</v>
      </c>
      <c r="E196" t="s">
        <v>337</v>
      </c>
      <c r="H196" s="5"/>
      <c r="J196" s="148"/>
      <c r="P196" s="5"/>
    </row>
    <row r="197" spans="2:16">
      <c r="B197" s="148"/>
      <c r="H197" s="5"/>
      <c r="J197" s="148"/>
      <c r="P197" s="5"/>
    </row>
    <row r="198" spans="2:16">
      <c r="B198" s="170" t="s">
        <v>243</v>
      </c>
      <c r="C198" s="9"/>
      <c r="D198" s="113" t="b">
        <f>IF(D186=TRUE,FALSE,IF(OR(D188=1,D196=FALSE),TRUE,FALSE))</f>
        <v>1</v>
      </c>
      <c r="E198" t="s">
        <v>331</v>
      </c>
      <c r="H198" s="5"/>
      <c r="J198" s="148"/>
      <c r="P198" s="5"/>
    </row>
    <row r="199" spans="2:16">
      <c r="B199" s="148"/>
      <c r="H199" s="5"/>
      <c r="J199" s="148"/>
      <c r="P199" s="5"/>
    </row>
    <row r="200" spans="2:16">
      <c r="B200" s="148"/>
      <c r="H200" s="5"/>
      <c r="J200" s="148"/>
      <c r="P200" s="5"/>
    </row>
    <row r="201" spans="2:16">
      <c r="B201" s="148"/>
      <c r="H201" s="5"/>
      <c r="J201" s="148"/>
      <c r="P201" s="5"/>
    </row>
    <row r="202" spans="2:16">
      <c r="B202" s="148"/>
      <c r="H202" s="5"/>
      <c r="J202" s="148"/>
      <c r="P202" s="5"/>
    </row>
    <row r="203" spans="2:16">
      <c r="B203" s="148"/>
      <c r="H203" s="5"/>
      <c r="J203" s="148"/>
      <c r="P203" s="5"/>
    </row>
    <row r="204" spans="2:16">
      <c r="B204" s="148"/>
      <c r="H204" s="5"/>
      <c r="J204" s="148"/>
      <c r="P204" s="5"/>
    </row>
    <row r="205" spans="2:16" ht="15" thickBot="1">
      <c r="B205" s="149"/>
      <c r="C205" s="7"/>
      <c r="D205" s="7"/>
      <c r="E205" s="7"/>
      <c r="F205" s="7"/>
      <c r="G205" s="7"/>
      <c r="H205" s="1"/>
      <c r="J205" s="149"/>
      <c r="K205" s="7"/>
      <c r="L205" s="7"/>
      <c r="M205" s="7"/>
      <c r="N205" s="7"/>
      <c r="O205" s="7"/>
      <c r="P205" s="1"/>
    </row>
    <row r="207" spans="2:16" ht="15" thickBot="1"/>
    <row r="208" spans="2:16" ht="15.6">
      <c r="B208" s="141" t="s">
        <v>1155</v>
      </c>
      <c r="C208" s="142"/>
      <c r="D208" s="142"/>
      <c r="E208" s="142"/>
      <c r="F208" s="142"/>
      <c r="G208" s="142"/>
      <c r="H208" s="142"/>
      <c r="I208" s="142"/>
      <c r="J208" s="142"/>
      <c r="K208" s="142"/>
      <c r="L208" s="142"/>
      <c r="M208" s="142"/>
      <c r="N208" s="142"/>
      <c r="O208" s="142"/>
      <c r="P208" s="143"/>
    </row>
    <row r="209" spans="2:16">
      <c r="B209" s="148"/>
      <c r="P209" s="5"/>
    </row>
    <row r="210" spans="2:16">
      <c r="B210" s="145" t="s">
        <v>274</v>
      </c>
      <c r="C210" s="13"/>
      <c r="D210" s="140" t="b">
        <f>K39</f>
        <v>0</v>
      </c>
      <c r="J210" s="13" t="s">
        <v>362</v>
      </c>
      <c r="K210" s="13"/>
      <c r="L210" s="113" t="b">
        <f>IF(COUNTIF(D216:D218,"VERDADERO")&gt;0,TRUE,FALSE)</f>
        <v>0</v>
      </c>
      <c r="P210" s="5"/>
    </row>
    <row r="211" spans="2:16">
      <c r="B211" s="145" t="s">
        <v>275</v>
      </c>
      <c r="C211" s="146"/>
      <c r="D211" s="140" t="b">
        <f>K53</f>
        <v>0</v>
      </c>
      <c r="J211" s="13" t="s">
        <v>360</v>
      </c>
      <c r="K211" s="13"/>
      <c r="L211" s="113" t="b">
        <f>AND(L210,D223)</f>
        <v>0</v>
      </c>
      <c r="M211" t="s">
        <v>361</v>
      </c>
      <c r="P211" s="5"/>
    </row>
    <row r="212" spans="2:16">
      <c r="B212" s="145" t="s">
        <v>276</v>
      </c>
      <c r="C212" s="146"/>
      <c r="D212" s="140" t="b">
        <f>OR(D210,D211)</f>
        <v>0</v>
      </c>
      <c r="E212" t="s">
        <v>277</v>
      </c>
      <c r="P212" s="5"/>
    </row>
    <row r="213" spans="2:16">
      <c r="B213" s="148"/>
      <c r="J213" s="147" t="s">
        <v>243</v>
      </c>
      <c r="K213" s="13"/>
      <c r="L213" s="113" t="b">
        <f>IF(D212=TRUE,FALSE,IF(OR(D214=1,L211=FALSE),TRUE,FALSE))</f>
        <v>1</v>
      </c>
      <c r="M213" t="s">
        <v>331</v>
      </c>
      <c r="P213" s="5"/>
    </row>
    <row r="214" spans="2:16">
      <c r="B214" s="147" t="s">
        <v>265</v>
      </c>
      <c r="C214" s="13"/>
      <c r="D214" s="21">
        <f>IF('Toma de notas 60598'!F307=0,1,0)</f>
        <v>1</v>
      </c>
      <c r="E214" t="s">
        <v>246</v>
      </c>
      <c r="P214" s="5"/>
    </row>
    <row r="215" spans="2:16">
      <c r="B215" s="148"/>
      <c r="P215" s="5"/>
    </row>
    <row r="216" spans="2:16">
      <c r="B216" s="147" t="s">
        <v>357</v>
      </c>
      <c r="C216" s="13"/>
      <c r="D216" s="113" t="b">
        <v>0</v>
      </c>
      <c r="E216" t="s">
        <v>348</v>
      </c>
      <c r="P216" s="5"/>
    </row>
    <row r="217" spans="2:16">
      <c r="B217" s="147" t="s">
        <v>358</v>
      </c>
      <c r="C217" s="13"/>
      <c r="D217" s="113" t="b">
        <v>0</v>
      </c>
      <c r="P217" s="5"/>
    </row>
    <row r="218" spans="2:16">
      <c r="B218" s="147" t="s">
        <v>347</v>
      </c>
      <c r="C218" s="13"/>
      <c r="D218" s="113" t="b">
        <v>0</v>
      </c>
      <c r="E218" t="s">
        <v>349</v>
      </c>
      <c r="P218" s="5"/>
    </row>
    <row r="219" spans="2:16">
      <c r="B219" s="148"/>
      <c r="P219" s="5"/>
    </row>
    <row r="220" spans="2:16">
      <c r="B220" s="147" t="s">
        <v>359</v>
      </c>
      <c r="C220" s="13"/>
      <c r="D220" s="113" t="b">
        <f>OR(D216,D217)</f>
        <v>0</v>
      </c>
      <c r="P220" s="5"/>
    </row>
    <row r="221" spans="2:16">
      <c r="B221" s="147" t="s">
        <v>352</v>
      </c>
      <c r="C221" s="13"/>
      <c r="D221" s="112" t="b">
        <v>0</v>
      </c>
      <c r="E221" t="s">
        <v>350</v>
      </c>
      <c r="P221" s="5"/>
    </row>
    <row r="222" spans="2:16">
      <c r="B222" s="147" t="s">
        <v>353</v>
      </c>
      <c r="C222" s="13"/>
      <c r="D222" s="112" t="b">
        <v>0</v>
      </c>
      <c r="E222" t="s">
        <v>351</v>
      </c>
      <c r="P222" s="5"/>
    </row>
    <row r="223" spans="2:16">
      <c r="B223" s="147" t="s">
        <v>355</v>
      </c>
      <c r="C223" s="13"/>
      <c r="D223" s="113" t="b">
        <f>IF(D218=FALSE,TRUE,IF(OR(D221,D222),TRUE,FALSE))</f>
        <v>1</v>
      </c>
      <c r="E223" t="s">
        <v>356</v>
      </c>
      <c r="P223" s="5"/>
    </row>
    <row r="224" spans="2:16">
      <c r="B224" s="148"/>
      <c r="P224" s="5"/>
    </row>
    <row r="225" spans="2:16">
      <c r="B225" s="148"/>
      <c r="P225" s="5"/>
    </row>
    <row r="226" spans="2:16">
      <c r="B226" s="148"/>
      <c r="P226" s="5"/>
    </row>
    <row r="227" spans="2:16">
      <c r="B227" s="148"/>
      <c r="P227" s="5"/>
    </row>
    <row r="228" spans="2:16">
      <c r="B228" s="148"/>
      <c r="P228" s="5"/>
    </row>
    <row r="229" spans="2:16">
      <c r="B229" s="148"/>
      <c r="P229" s="5"/>
    </row>
    <row r="230" spans="2:16" ht="15" thickBot="1">
      <c r="B230" s="149"/>
      <c r="C230" s="7"/>
      <c r="D230" s="7"/>
      <c r="E230" s="7"/>
      <c r="F230" s="7"/>
      <c r="G230" s="7"/>
      <c r="H230" s="7"/>
      <c r="I230" s="7"/>
      <c r="J230" s="7"/>
      <c r="K230" s="7"/>
      <c r="L230" s="7"/>
      <c r="M230" s="7"/>
      <c r="N230" s="7"/>
      <c r="O230" s="7"/>
      <c r="P230" s="1"/>
    </row>
    <row r="232" spans="2:16" ht="15" thickBot="1"/>
    <row r="233" spans="2:16" ht="15.6">
      <c r="B233" s="141" t="s">
        <v>1156</v>
      </c>
      <c r="C233" s="142"/>
      <c r="D233" s="142"/>
      <c r="E233" s="142"/>
      <c r="F233" s="142"/>
      <c r="G233" s="142"/>
      <c r="H233" s="143"/>
      <c r="J233" s="141" t="s">
        <v>1158</v>
      </c>
      <c r="K233" s="142"/>
      <c r="L233" s="142"/>
      <c r="M233" s="142"/>
      <c r="N233" s="142"/>
      <c r="O233" s="142"/>
      <c r="P233" s="143"/>
    </row>
    <row r="234" spans="2:16">
      <c r="B234" s="148"/>
      <c r="H234" s="5"/>
      <c r="J234" s="148"/>
      <c r="P234" s="5"/>
    </row>
    <row r="235" spans="2:16">
      <c r="B235" s="161" t="s">
        <v>274</v>
      </c>
      <c r="C235" s="34"/>
      <c r="D235" s="140" t="b">
        <f>K39</f>
        <v>0</v>
      </c>
      <c r="H235" s="5"/>
      <c r="J235" s="153" t="s">
        <v>274</v>
      </c>
      <c r="K235" s="18"/>
      <c r="L235" s="140" t="b">
        <f>K39</f>
        <v>0</v>
      </c>
      <c r="P235" s="5"/>
    </row>
    <row r="236" spans="2:16">
      <c r="B236" s="161" t="s">
        <v>275</v>
      </c>
      <c r="C236" s="162"/>
      <c r="D236" s="140" t="b">
        <f>K54</f>
        <v>0</v>
      </c>
      <c r="H236" s="5"/>
      <c r="J236" s="153" t="s">
        <v>275</v>
      </c>
      <c r="K236" s="179"/>
      <c r="L236" s="140" t="b">
        <f>K56</f>
        <v>0</v>
      </c>
      <c r="P236" s="5"/>
    </row>
    <row r="237" spans="2:16">
      <c r="B237" s="161" t="s">
        <v>276</v>
      </c>
      <c r="C237" s="162"/>
      <c r="D237" s="140" t="b">
        <f>OR(D235,D236)</f>
        <v>0</v>
      </c>
      <c r="E237" t="s">
        <v>277</v>
      </c>
      <c r="H237" s="5"/>
      <c r="J237" s="153" t="s">
        <v>276</v>
      </c>
      <c r="K237" s="179"/>
      <c r="L237" s="140" t="b">
        <f>OR(L235,L236)</f>
        <v>0</v>
      </c>
      <c r="P237" s="5"/>
    </row>
    <row r="238" spans="2:16">
      <c r="B238" s="148"/>
      <c r="H238" s="5"/>
      <c r="J238" s="148"/>
      <c r="P238" s="5"/>
    </row>
    <row r="239" spans="2:16">
      <c r="B239" s="163" t="s">
        <v>265</v>
      </c>
      <c r="C239" s="34"/>
      <c r="D239" s="21">
        <f>IF('Toma de notas 60598'!F325=0,1,0)</f>
        <v>1</v>
      </c>
      <c r="E239" t="s">
        <v>246</v>
      </c>
      <c r="H239" s="5"/>
      <c r="J239" s="24" t="s">
        <v>265</v>
      </c>
      <c r="K239" s="18"/>
      <c r="L239" s="21">
        <f>IF('Toma de notas 60598'!F350=0,1,0)</f>
        <v>1</v>
      </c>
      <c r="P239" s="5"/>
    </row>
    <row r="240" spans="2:16">
      <c r="B240" s="148"/>
      <c r="H240" s="5"/>
      <c r="J240" s="148"/>
      <c r="P240" s="5"/>
    </row>
    <row r="241" spans="2:16">
      <c r="B241" s="151" t="s">
        <v>365</v>
      </c>
      <c r="C241" s="10"/>
      <c r="D241" s="113" t="b">
        <f>IF(COUNTIF('Toma de notas 60598'!G327:N329,"&gt;=0")+COUNTIF('Toma de notas 60598'!G334:N336,"&gt;=0")&gt;=6,TRUE,FALSE)</f>
        <v>0</v>
      </c>
      <c r="E241" t="s">
        <v>366</v>
      </c>
      <c r="H241" s="5"/>
      <c r="J241" s="148"/>
      <c r="P241" s="5"/>
    </row>
    <row r="242" spans="2:16">
      <c r="B242" s="21" t="s">
        <v>367</v>
      </c>
      <c r="C242" s="21"/>
      <c r="H242" s="5"/>
      <c r="J242" s="24" t="s">
        <v>243</v>
      </c>
      <c r="K242" s="18"/>
      <c r="L242" s="113" t="b">
        <f>IF(L237=TRUE,FALSE,OR(L239))</f>
        <v>1</v>
      </c>
      <c r="P242" s="5"/>
    </row>
    <row r="243" spans="2:16">
      <c r="B243" s="113" t="b">
        <v>0</v>
      </c>
      <c r="C243" s="113" t="b">
        <v>0</v>
      </c>
      <c r="H243" s="5"/>
      <c r="J243" s="148"/>
      <c r="P243" s="5"/>
    </row>
    <row r="244" spans="2:16">
      <c r="B244" s="24" t="s">
        <v>368</v>
      </c>
      <c r="C244" s="18"/>
      <c r="D244" s="113" t="b">
        <f>OR(B243,C243)</f>
        <v>0</v>
      </c>
      <c r="H244" s="5"/>
      <c r="J244" s="148"/>
      <c r="P244" s="5"/>
    </row>
    <row r="245" spans="2:16">
      <c r="B245" s="148"/>
      <c r="H245" s="5"/>
      <c r="J245" s="148"/>
      <c r="P245" s="5"/>
    </row>
    <row r="246" spans="2:16">
      <c r="B246" s="170" t="s">
        <v>243</v>
      </c>
      <c r="C246" s="9"/>
      <c r="D246" s="113" t="b">
        <f>IF(D237=TRUE,FALSE,IF(OR(D239=1,D244=FALSE,D241=FALSE),TRUE,FALSE))</f>
        <v>1</v>
      </c>
      <c r="E246" t="s">
        <v>331</v>
      </c>
      <c r="H246" s="5"/>
      <c r="J246" s="148"/>
      <c r="P246" s="5"/>
    </row>
    <row r="247" spans="2:16">
      <c r="B247" s="148"/>
      <c r="H247" s="5"/>
      <c r="J247" s="148"/>
      <c r="P247" s="5"/>
    </row>
    <row r="248" spans="2:16">
      <c r="B248" s="148"/>
      <c r="H248" s="5"/>
      <c r="J248" s="148"/>
      <c r="P248" s="5"/>
    </row>
    <row r="249" spans="2:16">
      <c r="B249" s="148"/>
      <c r="H249" s="5"/>
      <c r="J249" s="148"/>
      <c r="P249" s="5"/>
    </row>
    <row r="250" spans="2:16">
      <c r="B250" s="148"/>
      <c r="H250" s="5"/>
      <c r="J250" s="148"/>
      <c r="P250" s="5"/>
    </row>
    <row r="251" spans="2:16">
      <c r="B251" s="148"/>
      <c r="H251" s="5"/>
      <c r="J251" s="148"/>
      <c r="P251" s="5"/>
    </row>
    <row r="252" spans="2:16">
      <c r="B252" s="148"/>
      <c r="H252" s="5"/>
      <c r="J252" s="148"/>
      <c r="P252" s="5"/>
    </row>
    <row r="253" spans="2:16" ht="15" thickBot="1">
      <c r="B253" s="149"/>
      <c r="C253" s="7"/>
      <c r="D253" s="7"/>
      <c r="E253" s="7"/>
      <c r="F253" s="7"/>
      <c r="G253" s="7"/>
      <c r="H253" s="1"/>
      <c r="J253" s="149"/>
      <c r="K253" s="7"/>
      <c r="L253" s="7"/>
      <c r="M253" s="7"/>
      <c r="N253" s="7"/>
      <c r="O253" s="7"/>
      <c r="P253" s="1"/>
    </row>
    <row r="255" spans="2:16" ht="15" thickBot="1"/>
    <row r="256" spans="2:16" ht="15.6">
      <c r="B256" s="141" t="s">
        <v>1160</v>
      </c>
      <c r="C256" s="142"/>
      <c r="D256" s="142"/>
      <c r="E256" s="142"/>
      <c r="F256" s="142"/>
      <c r="G256" s="142"/>
      <c r="H256" s="143"/>
    </row>
    <row r="257" spans="2:8">
      <c r="B257" s="148"/>
      <c r="H257" s="5"/>
    </row>
    <row r="258" spans="2:8">
      <c r="B258" s="153" t="s">
        <v>274</v>
      </c>
      <c r="C258" s="18"/>
      <c r="D258" s="140" t="b">
        <f>K39</f>
        <v>0</v>
      </c>
      <c r="H258" s="5"/>
    </row>
    <row r="259" spans="2:8">
      <c r="B259" s="153" t="s">
        <v>275</v>
      </c>
      <c r="C259" s="179"/>
      <c r="D259" s="140" t="b">
        <f>K58</f>
        <v>0</v>
      </c>
      <c r="H259" s="5"/>
    </row>
    <row r="260" spans="2:8">
      <c r="B260" s="153" t="s">
        <v>276</v>
      </c>
      <c r="C260" s="179"/>
      <c r="D260" s="140" t="b">
        <f>OR(D258,D259)</f>
        <v>0</v>
      </c>
      <c r="H260" s="5"/>
    </row>
    <row r="261" spans="2:8">
      <c r="B261" s="148"/>
      <c r="H261" s="5"/>
    </row>
    <row r="262" spans="2:8">
      <c r="B262" s="24" t="s">
        <v>265</v>
      </c>
      <c r="C262" s="18"/>
      <c r="D262" s="21">
        <f>IF('Toma de notas 60598'!F361=0,1,0)</f>
        <v>1</v>
      </c>
      <c r="H262" s="5"/>
    </row>
    <row r="263" spans="2:8">
      <c r="B263" s="148"/>
      <c r="H263" s="5"/>
    </row>
    <row r="264" spans="2:8">
      <c r="B264" s="148"/>
      <c r="H264" s="5"/>
    </row>
    <row r="265" spans="2:8">
      <c r="B265" s="24" t="s">
        <v>243</v>
      </c>
      <c r="C265" s="18"/>
      <c r="D265" s="113" t="b">
        <f>IF(D260=TRUE,FALSE,OR(D262))</f>
        <v>1</v>
      </c>
      <c r="H265" s="5"/>
    </row>
    <row r="266" spans="2:8">
      <c r="B266" s="148"/>
      <c r="H266" s="5"/>
    </row>
    <row r="267" spans="2:8">
      <c r="B267" s="148"/>
      <c r="H267" s="5"/>
    </row>
    <row r="268" spans="2:8">
      <c r="B268" s="148"/>
      <c r="H268" s="5"/>
    </row>
    <row r="269" spans="2:8">
      <c r="B269" s="148"/>
      <c r="H269" s="5"/>
    </row>
    <row r="270" spans="2:8">
      <c r="B270" s="148"/>
      <c r="H270" s="5"/>
    </row>
    <row r="271" spans="2:8">
      <c r="B271" s="148"/>
      <c r="H271" s="5"/>
    </row>
    <row r="272" spans="2:8">
      <c r="B272" s="148"/>
      <c r="H272" s="5"/>
    </row>
    <row r="273" spans="2:8">
      <c r="B273" s="148"/>
      <c r="H273" s="5"/>
    </row>
    <row r="274" spans="2:8">
      <c r="B274" s="148"/>
      <c r="H274" s="5"/>
    </row>
    <row r="275" spans="2:8">
      <c r="B275" s="148"/>
      <c r="H275" s="5"/>
    </row>
    <row r="276" spans="2:8" ht="15" thickBot="1">
      <c r="B276" s="149"/>
      <c r="C276" s="7"/>
      <c r="D276" s="7"/>
      <c r="E276" s="7"/>
      <c r="F276" s="7"/>
      <c r="G276" s="7"/>
      <c r="H276" s="1"/>
    </row>
  </sheetData>
  <mergeCells count="1">
    <mergeCell ref="B5:C6"/>
  </mergeCells>
  <phoneticPr fontId="2" type="noConversion"/>
  <conditionalFormatting sqref="B18:B19">
    <cfRule type="expression" dxfId="24" priority="34">
      <formula>IF($D$24&lt;&gt;0,"VERDADERO","FALSO")</formula>
    </cfRule>
  </conditionalFormatting>
  <conditionalFormatting sqref="B36">
    <cfRule type="expression" dxfId="23" priority="32">
      <formula>$D$42</formula>
    </cfRule>
  </conditionalFormatting>
  <conditionalFormatting sqref="B51">
    <cfRule type="expression" dxfId="22" priority="39">
      <formula>$D$66</formula>
    </cfRule>
  </conditionalFormatting>
  <conditionalFormatting sqref="B95">
    <cfRule type="expression" dxfId="21" priority="413">
      <formula>$D$112</formula>
    </cfRule>
  </conditionalFormatting>
  <conditionalFormatting sqref="B132">
    <cfRule type="expression" dxfId="20" priority="27">
      <formula>$L$154</formula>
    </cfRule>
  </conditionalFormatting>
  <conditionalFormatting sqref="B163">
    <cfRule type="expression" dxfId="19" priority="26">
      <formula>$D$171</formula>
    </cfRule>
  </conditionalFormatting>
  <conditionalFormatting sqref="B182">
    <cfRule type="expression" dxfId="18" priority="24">
      <formula>$D$198</formula>
    </cfRule>
  </conditionalFormatting>
  <conditionalFormatting sqref="B208">
    <cfRule type="expression" dxfId="17" priority="19">
      <formula>$L$213</formula>
    </cfRule>
  </conditionalFormatting>
  <conditionalFormatting sqref="B233">
    <cfRule type="expression" dxfId="16" priority="18">
      <formula>$D$246</formula>
    </cfRule>
  </conditionalFormatting>
  <conditionalFormatting sqref="B256">
    <cfRule type="expression" dxfId="15" priority="15">
      <formula>$D$265</formula>
    </cfRule>
  </conditionalFormatting>
  <conditionalFormatting sqref="B73:C73">
    <cfRule type="expression" dxfId="14" priority="30">
      <formula>$L$85</formula>
    </cfRule>
  </conditionalFormatting>
  <conditionalFormatting sqref="J18:J19">
    <cfRule type="expression" dxfId="13" priority="33">
      <formula>$L$31</formula>
    </cfRule>
  </conditionalFormatting>
  <conditionalFormatting sqref="J95">
    <cfRule type="expression" dxfId="12" priority="42">
      <formula>$L$105</formula>
    </cfRule>
  </conditionalFormatting>
  <conditionalFormatting sqref="J163">
    <cfRule type="expression" dxfId="11" priority="22">
      <formula>$L$171</formula>
    </cfRule>
  </conditionalFormatting>
  <conditionalFormatting sqref="J182">
    <cfRule type="expression" dxfId="10" priority="65">
      <formula>$L$192</formula>
    </cfRule>
  </conditionalFormatting>
  <conditionalFormatting sqref="J233">
    <cfRule type="expression" dxfId="9" priority="17">
      <formula>$L$242</formula>
    </cfRule>
  </conditionalFormatting>
  <conditionalFormatting sqref="R18">
    <cfRule type="expression" dxfId="8" priority="70">
      <formula>$T$34</formula>
    </cfRule>
  </conditionalFormatting>
  <conditionalFormatting sqref="Z18">
    <cfRule type="expression" dxfId="7" priority="74">
      <formula>$AB$37</formula>
    </cfRule>
  </conditionalFormatting>
  <conditionalFormatting sqref="Z42">
    <cfRule type="expression" dxfId="6" priority="9">
      <formula>$AB$56</formula>
    </cfRule>
  </conditionalFormatting>
  <conditionalFormatting sqref="AH18">
    <cfRule type="expression" dxfId="5" priority="8">
      <formula>$AJ$61</formula>
    </cfRule>
  </conditionalFormatting>
  <conditionalFormatting sqref="AP18">
    <cfRule type="expression" dxfId="4" priority="7">
      <formula>$AR$83</formula>
    </cfRule>
  </conditionalFormatting>
  <conditionalFormatting sqref="AY5:AY7">
    <cfRule type="dataBar" priority="2">
      <dataBar>
        <cfvo type="num" val="0"/>
        <cfvo type="num" val="1"/>
        <color theme="9" tint="-0.249977111117893"/>
      </dataBar>
      <extLst>
        <ext xmlns:x14="http://schemas.microsoft.com/office/spreadsheetml/2009/9/main" uri="{B025F937-C7B1-47D3-B67F-A62EFF666E3E}">
          <x14:id>{0B994D6A-D580-4FC2-BF1A-DA30412B485D}</x14:id>
        </ext>
      </extLst>
    </cfRule>
  </conditionalFormatting>
  <conditionalFormatting sqref="BC18">
    <cfRule type="expression" dxfId="3" priority="6">
      <formula>$BE$61</formula>
    </cfRule>
  </conditionalFormatting>
  <conditionalFormatting sqref="BL18">
    <cfRule type="expression" dxfId="2" priority="5">
      <formula>$BN$28</formula>
    </cfRule>
  </conditionalFormatting>
  <conditionalFormatting sqref="BL39">
    <cfRule type="expression" dxfId="1" priority="1">
      <formula>$BR$41</formula>
    </cfRule>
  </conditionalFormatting>
  <conditionalFormatting sqref="BU18">
    <cfRule type="expression" dxfId="0" priority="4">
      <formula>$BW$70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B994D6A-D580-4FC2-BF1A-DA30412B485D}">
            <x14:dataBar minLength="0" maxLength="100">
              <x14:cfvo type="num">
                <xm:f>0</xm:f>
              </x14:cfvo>
              <x14:cfvo type="num">
                <xm:f>1</xm:f>
              </x14:cfvo>
              <x14:negativeFillColor rgb="FFFF0000"/>
              <x14:axisColor rgb="FF000000"/>
            </x14:dataBar>
          </x14:cfRule>
          <xm:sqref>AY5:AY7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EAFB7-C3FB-44C5-B5BB-415DA9617BCC}">
  <sheetPr codeName="Hoja1"/>
  <dimension ref="C2:G107"/>
  <sheetViews>
    <sheetView topLeftCell="A55" zoomScaleNormal="100" workbookViewId="0">
      <selection activeCell="K4" sqref="K4:K24"/>
    </sheetView>
  </sheetViews>
  <sheetFormatPr defaultColWidth="11.5546875" defaultRowHeight="14.4" outlineLevelRow="2"/>
  <cols>
    <col min="2" max="2" width="4.44140625" customWidth="1"/>
    <col min="3" max="4" width="3.5546875" customWidth="1"/>
    <col min="5" max="5" width="45.5546875" customWidth="1"/>
    <col min="6" max="6" width="15.44140625" customWidth="1"/>
    <col min="7" max="7" width="12.5546875" customWidth="1"/>
    <col min="8" max="8" width="11.5546875" customWidth="1"/>
    <col min="9" max="9" width="12.44140625" customWidth="1"/>
    <col min="10" max="10" width="11.5546875" customWidth="1"/>
  </cols>
  <sheetData>
    <row r="2" spans="3:7">
      <c r="G2" s="11"/>
    </row>
    <row r="3" spans="3:7">
      <c r="C3" s="2" t="s">
        <v>38</v>
      </c>
      <c r="D3" s="2"/>
      <c r="E3" s="2"/>
      <c r="F3" t="b">
        <v>1</v>
      </c>
      <c r="G3" s="17"/>
    </row>
    <row r="4" spans="3:7">
      <c r="D4" t="s">
        <v>0</v>
      </c>
      <c r="F4" t="b">
        <v>1</v>
      </c>
    </row>
    <row r="5" spans="3:7" outlineLevel="1">
      <c r="C5" s="2" t="s">
        <v>39</v>
      </c>
      <c r="F5" t="b">
        <v>1</v>
      </c>
      <c r="G5" s="11"/>
    </row>
    <row r="6" spans="3:7" outlineLevel="1">
      <c r="D6" s="11" t="s">
        <v>40</v>
      </c>
      <c r="F6" t="b">
        <f>F$5</f>
        <v>1</v>
      </c>
      <c r="G6" s="11"/>
    </row>
    <row r="7" spans="3:7" outlineLevel="2">
      <c r="D7" t="s">
        <v>9</v>
      </c>
      <c r="F7" t="b">
        <f>F$5</f>
        <v>1</v>
      </c>
      <c r="G7" s="11"/>
    </row>
    <row r="8" spans="3:7" outlineLevel="2">
      <c r="D8" s="16" t="s">
        <v>10</v>
      </c>
      <c r="E8" s="16"/>
      <c r="F8" t="b">
        <f>F$5</f>
        <v>1</v>
      </c>
      <c r="G8" s="11"/>
    </row>
    <row r="9" spans="3:7" outlineLevel="2">
      <c r="D9" t="s">
        <v>11</v>
      </c>
      <c r="F9" t="b">
        <f>F$5</f>
        <v>1</v>
      </c>
      <c r="G9" s="11"/>
    </row>
    <row r="10" spans="3:7" outlineLevel="2">
      <c r="E10" s="8"/>
      <c r="F10" s="8"/>
      <c r="G10" s="11"/>
    </row>
    <row r="11" spans="3:7" outlineLevel="1">
      <c r="E11" s="8"/>
      <c r="F11" s="8"/>
      <c r="G11" s="11">
        <v>2</v>
      </c>
    </row>
    <row r="12" spans="3:7" outlineLevel="1">
      <c r="E12" s="8"/>
      <c r="F12" s="8"/>
      <c r="G12" s="11"/>
    </row>
    <row r="13" spans="3:7" outlineLevel="1">
      <c r="E13" s="10" t="s">
        <v>43</v>
      </c>
      <c r="F13" s="10"/>
      <c r="G13" s="11"/>
    </row>
    <row r="14" spans="3:7" outlineLevel="1">
      <c r="E14" s="10"/>
      <c r="F14" s="10"/>
      <c r="G14" s="11">
        <v>1</v>
      </c>
    </row>
    <row r="15" spans="3:7" outlineLevel="1">
      <c r="E15" s="10"/>
      <c r="F15" s="10"/>
      <c r="G15" s="11"/>
    </row>
    <row r="16" spans="3:7" outlineLevel="1">
      <c r="E16" s="9" t="s">
        <v>44</v>
      </c>
      <c r="F16" s="9"/>
      <c r="G16" s="11"/>
    </row>
    <row r="17" spans="4:7">
      <c r="E17" s="9"/>
      <c r="F17" s="9"/>
      <c r="G17" s="11">
        <v>1</v>
      </c>
    </row>
    <row r="18" spans="4:7">
      <c r="E18" s="9"/>
      <c r="F18" s="9"/>
      <c r="G18" s="11"/>
    </row>
    <row r="19" spans="4:7">
      <c r="G19" s="11"/>
    </row>
    <row r="20" spans="4:7">
      <c r="D20" t="s">
        <v>17</v>
      </c>
      <c r="F20" t="b">
        <f>F$5</f>
        <v>1</v>
      </c>
      <c r="G20" s="11"/>
    </row>
    <row r="21" spans="4:7">
      <c r="D21" t="s">
        <v>20</v>
      </c>
      <c r="F21" t="b">
        <f>F$5</f>
        <v>1</v>
      </c>
      <c r="G21" s="11"/>
    </row>
    <row r="22" spans="4:7">
      <c r="D22" t="s">
        <v>24</v>
      </c>
      <c r="F22" t="b">
        <f>F$5</f>
        <v>1</v>
      </c>
      <c r="G22" s="11"/>
    </row>
    <row r="23" spans="4:7">
      <c r="D23" t="s">
        <v>28</v>
      </c>
      <c r="F23" t="b">
        <f>F$5</f>
        <v>1</v>
      </c>
      <c r="G23" s="11"/>
    </row>
    <row r="24" spans="4:7">
      <c r="D24" t="s">
        <v>31</v>
      </c>
      <c r="F24" t="b">
        <f>F$5</f>
        <v>1</v>
      </c>
      <c r="G24" s="11"/>
    </row>
    <row r="25" spans="4:7">
      <c r="E25" s="8"/>
      <c r="F25" s="8"/>
      <c r="G25" s="11"/>
    </row>
    <row r="26" spans="4:7">
      <c r="E26" s="8"/>
      <c r="F26" s="8"/>
      <c r="G26" s="11"/>
    </row>
    <row r="27" spans="4:7">
      <c r="E27" s="8"/>
      <c r="F27" s="8"/>
      <c r="G27" s="11"/>
    </row>
    <row r="28" spans="4:7">
      <c r="E28" s="8"/>
      <c r="F28" s="8"/>
      <c r="G28" s="11">
        <v>1</v>
      </c>
    </row>
    <row r="29" spans="4:7">
      <c r="E29" s="8"/>
      <c r="F29" s="8"/>
      <c r="G29" s="11"/>
    </row>
    <row r="30" spans="4:7">
      <c r="G30" s="11"/>
    </row>
    <row r="31" spans="4:7">
      <c r="D31" t="s">
        <v>87</v>
      </c>
      <c r="F31" t="b">
        <f>F$5</f>
        <v>1</v>
      </c>
      <c r="G31" s="11"/>
    </row>
    <row r="32" spans="4:7">
      <c r="D32" t="s">
        <v>35</v>
      </c>
      <c r="F32" t="b">
        <f>F$5</f>
        <v>1</v>
      </c>
      <c r="G32" s="11"/>
    </row>
    <row r="33" spans="3:7">
      <c r="C33" s="2" t="s">
        <v>36</v>
      </c>
      <c r="F33" t="b">
        <v>1</v>
      </c>
      <c r="G33" s="11"/>
    </row>
    <row r="34" spans="3:7">
      <c r="E34" s="8"/>
      <c r="F34" s="8"/>
    </row>
    <row r="35" spans="3:7">
      <c r="E35" s="8"/>
      <c r="F35" s="8"/>
    </row>
    <row r="36" spans="3:7">
      <c r="E36" s="8"/>
      <c r="F36" s="8"/>
      <c r="G36">
        <v>2</v>
      </c>
    </row>
    <row r="37" spans="3:7">
      <c r="E37" s="8"/>
      <c r="F37" s="8"/>
    </row>
    <row r="38" spans="3:7">
      <c r="E38" s="8"/>
      <c r="F38" s="8"/>
    </row>
    <row r="39" spans="3:7">
      <c r="C39" s="2" t="s">
        <v>93</v>
      </c>
      <c r="F39" t="b">
        <v>1</v>
      </c>
    </row>
    <row r="40" spans="3:7">
      <c r="D40" s="2" t="s">
        <v>45</v>
      </c>
      <c r="F40" t="b">
        <f>F39</f>
        <v>1</v>
      </c>
      <c r="G40" s="11"/>
    </row>
    <row r="41" spans="3:7">
      <c r="E41" s="10"/>
      <c r="F41" s="10"/>
      <c r="G41" s="11"/>
    </row>
    <row r="42" spans="3:7">
      <c r="E42" s="10"/>
      <c r="F42" s="10"/>
      <c r="G42" s="11"/>
    </row>
    <row r="43" spans="3:7">
      <c r="E43" s="10"/>
      <c r="F43" s="10"/>
      <c r="G43" s="11">
        <v>2</v>
      </c>
    </row>
    <row r="44" spans="3:7">
      <c r="E44" s="9"/>
      <c r="F44" s="9"/>
      <c r="G44" s="11"/>
    </row>
    <row r="45" spans="3:7">
      <c r="E45" s="9"/>
      <c r="F45" s="9"/>
      <c r="G45" s="11"/>
    </row>
    <row r="46" spans="3:7">
      <c r="E46" s="9"/>
      <c r="F46" s="9"/>
      <c r="G46" s="11">
        <v>2</v>
      </c>
    </row>
    <row r="47" spans="3:7">
      <c r="C47" t="s">
        <v>94</v>
      </c>
      <c r="F47" t="b">
        <v>1</v>
      </c>
    </row>
    <row r="48" spans="3:7">
      <c r="D48" s="2" t="s">
        <v>88</v>
      </c>
      <c r="F48" t="b">
        <f>F47</f>
        <v>1</v>
      </c>
      <c r="G48" s="11"/>
    </row>
    <row r="49" spans="3:7">
      <c r="C49" s="2" t="s">
        <v>89</v>
      </c>
      <c r="F49" t="b">
        <v>1</v>
      </c>
      <c r="G49" s="11"/>
    </row>
    <row r="50" spans="3:7">
      <c r="E50" s="8"/>
      <c r="F50" s="8"/>
      <c r="G50" s="11"/>
    </row>
    <row r="51" spans="3:7">
      <c r="E51" s="8"/>
      <c r="F51" s="8"/>
      <c r="G51" s="11"/>
    </row>
    <row r="52" spans="3:7">
      <c r="E52" s="8"/>
      <c r="F52" s="8"/>
      <c r="G52" s="11"/>
    </row>
    <row r="53" spans="3:7">
      <c r="E53" s="8"/>
      <c r="F53" s="8"/>
      <c r="G53" s="11">
        <v>3</v>
      </c>
    </row>
    <row r="54" spans="3:7">
      <c r="E54" s="8"/>
      <c r="F54" s="8"/>
      <c r="G54" s="11"/>
    </row>
    <row r="55" spans="3:7">
      <c r="C55" s="2" t="s">
        <v>90</v>
      </c>
      <c r="F55" t="b">
        <v>1</v>
      </c>
      <c r="G55" s="11"/>
    </row>
    <row r="56" spans="3:7">
      <c r="D56" t="s">
        <v>59</v>
      </c>
      <c r="F56" t="b">
        <v>1</v>
      </c>
      <c r="G56" s="11"/>
    </row>
    <row r="57" spans="3:7">
      <c r="E57" s="9"/>
      <c r="F57" s="9"/>
      <c r="G57" s="11"/>
    </row>
    <row r="58" spans="3:7">
      <c r="E58" s="9"/>
      <c r="F58" s="9"/>
      <c r="G58" s="11"/>
    </row>
    <row r="59" spans="3:7">
      <c r="E59" s="9"/>
      <c r="F59" s="9"/>
      <c r="G59" s="11">
        <v>2</v>
      </c>
    </row>
    <row r="60" spans="3:7">
      <c r="E60" s="9"/>
      <c r="F60" s="9"/>
      <c r="G60" s="11"/>
    </row>
    <row r="61" spans="3:7">
      <c r="D61" t="s">
        <v>60</v>
      </c>
      <c r="F61" t="b">
        <v>1</v>
      </c>
      <c r="G61" s="11"/>
    </row>
    <row r="62" spans="3:7">
      <c r="E62" s="8"/>
      <c r="F62" s="8"/>
      <c r="G62" s="11">
        <v>2</v>
      </c>
    </row>
    <row r="63" spans="3:7">
      <c r="E63" s="8"/>
      <c r="F63" s="8"/>
      <c r="G63" s="11"/>
    </row>
    <row r="64" spans="3:7">
      <c r="E64" s="8"/>
      <c r="F64" s="8"/>
      <c r="G64" s="11"/>
    </row>
    <row r="65" spans="3:7">
      <c r="E65" s="8"/>
      <c r="F65" s="8"/>
      <c r="G65" s="11"/>
    </row>
    <row r="66" spans="3:7">
      <c r="D66" t="s">
        <v>61</v>
      </c>
      <c r="F66" t="b">
        <v>1</v>
      </c>
      <c r="G66" s="11"/>
    </row>
    <row r="67" spans="3:7">
      <c r="E67" s="10"/>
      <c r="F67" s="10"/>
      <c r="G67" s="11"/>
    </row>
    <row r="68" spans="3:7">
      <c r="E68" s="10"/>
      <c r="F68" s="10"/>
      <c r="G68" s="11">
        <v>2</v>
      </c>
    </row>
    <row r="69" spans="3:7">
      <c r="E69" s="10"/>
      <c r="F69" s="10"/>
      <c r="G69" s="11"/>
    </row>
    <row r="70" spans="3:7">
      <c r="E70" s="10"/>
      <c r="F70" s="10"/>
      <c r="G70" s="11">
        <v>3</v>
      </c>
    </row>
    <row r="71" spans="3:7">
      <c r="C71" s="2" t="s">
        <v>95</v>
      </c>
      <c r="F71" t="b">
        <v>1</v>
      </c>
    </row>
    <row r="72" spans="3:7">
      <c r="D72" s="2" t="s">
        <v>63</v>
      </c>
      <c r="F72" t="b">
        <f>F71</f>
        <v>1</v>
      </c>
      <c r="G72" s="11"/>
    </row>
    <row r="73" spans="3:7">
      <c r="C73" s="2" t="s">
        <v>91</v>
      </c>
      <c r="F73" t="b">
        <v>1</v>
      </c>
      <c r="G73" s="11"/>
    </row>
    <row r="74" spans="3:7">
      <c r="E74" s="10"/>
      <c r="F74" s="10"/>
      <c r="G74" s="11"/>
    </row>
    <row r="75" spans="3:7">
      <c r="E75" s="10"/>
      <c r="F75" s="10"/>
      <c r="G75" s="11">
        <v>2</v>
      </c>
    </row>
    <row r="76" spans="3:7">
      <c r="E76" s="10"/>
      <c r="F76" s="10"/>
      <c r="G76" s="11"/>
    </row>
    <row r="77" spans="3:7">
      <c r="E77" s="10"/>
      <c r="F77" s="10"/>
      <c r="G77" s="11"/>
    </row>
    <row r="78" spans="3:7">
      <c r="E78" s="10"/>
      <c r="F78" s="10"/>
      <c r="G78" s="11"/>
    </row>
    <row r="79" spans="3:7">
      <c r="E79" s="10"/>
      <c r="F79" s="10"/>
      <c r="G79" s="11"/>
    </row>
    <row r="80" spans="3:7">
      <c r="E80" s="8"/>
      <c r="F80" s="8"/>
      <c r="G80" s="11"/>
    </row>
    <row r="81" spans="3:7">
      <c r="E81" s="8"/>
      <c r="F81" s="8"/>
      <c r="G81" s="11">
        <v>1</v>
      </c>
    </row>
    <row r="82" spans="3:7">
      <c r="E82" s="8"/>
      <c r="F82" s="8"/>
      <c r="G82" s="11"/>
    </row>
    <row r="83" spans="3:7">
      <c r="E83" s="8"/>
      <c r="F83" s="8"/>
      <c r="G83" s="11"/>
    </row>
    <row r="84" spans="3:7">
      <c r="E84" s="8"/>
      <c r="F84" s="8"/>
      <c r="G84" s="11"/>
    </row>
    <row r="85" spans="3:7">
      <c r="E85" s="8"/>
      <c r="F85" s="8"/>
      <c r="G85" s="11"/>
    </row>
    <row r="86" spans="3:7">
      <c r="E86" s="8"/>
      <c r="F86" s="8"/>
      <c r="G86" s="11"/>
    </row>
    <row r="87" spans="3:7">
      <c r="E87" s="8"/>
      <c r="F87" s="8"/>
      <c r="G87" s="11"/>
    </row>
    <row r="88" spans="3:7">
      <c r="C88" s="2" t="s">
        <v>92</v>
      </c>
      <c r="F88" t="b">
        <v>1</v>
      </c>
      <c r="G88" s="11"/>
    </row>
    <row r="89" spans="3:7">
      <c r="D89" t="s">
        <v>74</v>
      </c>
      <c r="F89" t="b">
        <v>1</v>
      </c>
      <c r="G89" s="11"/>
    </row>
    <row r="90" spans="3:7">
      <c r="E90" s="8"/>
      <c r="F90" s="8"/>
      <c r="G90" s="11"/>
    </row>
    <row r="91" spans="3:7">
      <c r="E91" s="8"/>
      <c r="F91" s="8"/>
      <c r="G91" s="11">
        <v>2</v>
      </c>
    </row>
    <row r="92" spans="3:7">
      <c r="E92" s="8"/>
      <c r="F92" s="8"/>
      <c r="G92" s="11"/>
    </row>
    <row r="93" spans="3:7">
      <c r="E93" s="8"/>
      <c r="F93" s="8"/>
      <c r="G93" s="11"/>
    </row>
    <row r="94" spans="3:7">
      <c r="E94" s="8"/>
      <c r="F94" s="8"/>
      <c r="G94" s="11"/>
    </row>
    <row r="95" spans="3:7">
      <c r="D95" t="s">
        <v>79</v>
      </c>
      <c r="F95" t="b">
        <v>1</v>
      </c>
      <c r="G95" s="11"/>
    </row>
    <row r="96" spans="3:7">
      <c r="C96" t="s">
        <v>83</v>
      </c>
      <c r="F96" t="b">
        <v>1</v>
      </c>
      <c r="G96" s="11"/>
    </row>
    <row r="97" spans="5:7">
      <c r="E97" s="8"/>
      <c r="F97" s="8"/>
      <c r="G97" s="11"/>
    </row>
    <row r="98" spans="5:7">
      <c r="E98" s="8"/>
      <c r="F98" s="8"/>
      <c r="G98" s="11"/>
    </row>
    <row r="99" spans="5:7">
      <c r="E99" s="8"/>
      <c r="F99" s="8"/>
      <c r="G99" s="11">
        <v>3</v>
      </c>
    </row>
    <row r="100" spans="5:7">
      <c r="E100" s="8"/>
      <c r="F100" s="8"/>
      <c r="G100" s="11"/>
    </row>
    <row r="101" spans="5:7">
      <c r="E101" s="8"/>
      <c r="F101" s="8"/>
      <c r="G101" s="11"/>
    </row>
    <row r="102" spans="5:7">
      <c r="E102" s="10"/>
      <c r="F102" s="10"/>
      <c r="G102" s="11">
        <v>2</v>
      </c>
    </row>
    <row r="103" spans="5:7">
      <c r="E103" s="10"/>
      <c r="F103" s="10"/>
      <c r="G103" s="11"/>
    </row>
    <row r="104" spans="5:7">
      <c r="E104" s="10"/>
      <c r="F104" s="10"/>
      <c r="G104" s="11"/>
    </row>
    <row r="105" spans="5:7">
      <c r="E105" s="10"/>
      <c r="F105" s="10"/>
      <c r="G105" s="11"/>
    </row>
    <row r="106" spans="5:7">
      <c r="G106" s="11"/>
    </row>
    <row r="107" spans="5:7">
      <c r="G107" s="11"/>
    </row>
  </sheetData>
  <customSheetViews>
    <customSheetView guid="{79F412AB-527B-4B09-A03C-7CEF74370DD0}">
      <selection activeCell="F19" sqref="F19"/>
      <pageMargins left="0.7" right="0.7" top="0.75" bottom="0.75" header="0.3" footer="0.3"/>
      <pageSetup paperSize="9" orientation="portrait" r:id="rId1"/>
    </customSheetView>
  </customSheetView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3073" r:id="rId5" name="Check Box 1">
              <controlPr defaultSize="0" autoFill="0" autoLine="0" autoPict="0">
                <anchor moveWithCells="1">
                  <from>
                    <xdr:col>1</xdr:col>
                    <xdr:colOff>38100</xdr:colOff>
                    <xdr:row>1</xdr:row>
                    <xdr:rowOff>182880</xdr:rowOff>
                  </from>
                  <to>
                    <xdr:col>2</xdr:col>
                    <xdr:colOff>68580</xdr:colOff>
                    <xdr:row>3</xdr:row>
                    <xdr:rowOff>30480</xdr:rowOff>
                  </to>
                </anchor>
              </controlPr>
            </control>
          </mc:Choice>
        </mc:AlternateContent>
        <mc:AlternateContent xmlns:mc="http://schemas.openxmlformats.org/markup-compatibility/2006">
          <mc:Choice Requires="x14">
            <control shapeId="3074" r:id="rId6" name="Check Box 2">
              <controlPr defaultSize="0" autoFill="0" autoLine="0" autoPict="0">
                <anchor moveWithCells="1">
                  <from>
                    <xdr:col>1</xdr:col>
                    <xdr:colOff>38100</xdr:colOff>
                    <xdr:row>3</xdr:row>
                    <xdr:rowOff>182880</xdr:rowOff>
                  </from>
                  <to>
                    <xdr:col>2</xdr:col>
                    <xdr:colOff>68580</xdr:colOff>
                    <xdr:row>5</xdr:row>
                    <xdr:rowOff>30480</xdr:rowOff>
                  </to>
                </anchor>
              </controlPr>
            </control>
          </mc:Choice>
        </mc:AlternateContent>
        <mc:AlternateContent xmlns:mc="http://schemas.openxmlformats.org/markup-compatibility/2006">
          <mc:Choice Requires="x14">
            <control shapeId="3075" r:id="rId7" name="Check Box 3">
              <controlPr defaultSize="0" autoFill="0" autoLine="0" autoPict="0">
                <anchor moveWithCells="1">
                  <from>
                    <xdr:col>2</xdr:col>
                    <xdr:colOff>30480</xdr:colOff>
                    <xdr:row>4</xdr:row>
                    <xdr:rowOff>182880</xdr:rowOff>
                  </from>
                  <to>
                    <xdr:col>3</xdr:col>
                    <xdr:colOff>68580</xdr:colOff>
                    <xdr:row>6</xdr:row>
                    <xdr:rowOff>30480</xdr:rowOff>
                  </to>
                </anchor>
              </controlPr>
            </control>
          </mc:Choice>
        </mc:AlternateContent>
        <mc:AlternateContent xmlns:mc="http://schemas.openxmlformats.org/markup-compatibility/2006">
          <mc:Choice Requires="x14">
            <control shapeId="3076" r:id="rId8" name="Check Box 4">
              <controlPr defaultSize="0" autoFill="0" autoLine="0" autoPict="0">
                <anchor moveWithCells="1">
                  <from>
                    <xdr:col>2</xdr:col>
                    <xdr:colOff>30480</xdr:colOff>
                    <xdr:row>5</xdr:row>
                    <xdr:rowOff>182880</xdr:rowOff>
                  </from>
                  <to>
                    <xdr:col>3</xdr:col>
                    <xdr:colOff>68580</xdr:colOff>
                    <xdr:row>7</xdr:row>
                    <xdr:rowOff>30480</xdr:rowOff>
                  </to>
                </anchor>
              </controlPr>
            </control>
          </mc:Choice>
        </mc:AlternateContent>
        <mc:AlternateContent xmlns:mc="http://schemas.openxmlformats.org/markup-compatibility/2006">
          <mc:Choice Requires="x14">
            <control shapeId="3077" r:id="rId9" name="Check Box 5">
              <controlPr defaultSize="0" autoFill="0" autoLine="0" autoPict="0">
                <anchor moveWithCells="1">
                  <from>
                    <xdr:col>2</xdr:col>
                    <xdr:colOff>30480</xdr:colOff>
                    <xdr:row>7</xdr:row>
                    <xdr:rowOff>182880</xdr:rowOff>
                  </from>
                  <to>
                    <xdr:col>2</xdr:col>
                    <xdr:colOff>259080</xdr:colOff>
                    <xdr:row>9</xdr:row>
                    <xdr:rowOff>30480</xdr:rowOff>
                  </to>
                </anchor>
              </controlPr>
            </control>
          </mc:Choice>
        </mc:AlternateContent>
        <mc:AlternateContent xmlns:mc="http://schemas.openxmlformats.org/markup-compatibility/2006">
          <mc:Choice Requires="x14">
            <control shapeId="3078" r:id="rId10" name="Check Box 6">
              <controlPr defaultSize="0" autoFill="0" autoLine="0" autoPict="0">
                <anchor moveWithCells="1">
                  <from>
                    <xdr:col>2</xdr:col>
                    <xdr:colOff>30480</xdr:colOff>
                    <xdr:row>18</xdr:row>
                    <xdr:rowOff>182880</xdr:rowOff>
                  </from>
                  <to>
                    <xdr:col>3</xdr:col>
                    <xdr:colOff>68580</xdr:colOff>
                    <xdr:row>20</xdr:row>
                    <xdr:rowOff>30480</xdr:rowOff>
                  </to>
                </anchor>
              </controlPr>
            </control>
          </mc:Choice>
        </mc:AlternateContent>
        <mc:AlternateContent xmlns:mc="http://schemas.openxmlformats.org/markup-compatibility/2006">
          <mc:Choice Requires="x14">
            <control shapeId="3079" r:id="rId11" name="Check Box 7">
              <controlPr defaultSize="0" autoFill="0" autoLine="0" autoPict="0">
                <anchor moveWithCells="1">
                  <from>
                    <xdr:col>2</xdr:col>
                    <xdr:colOff>30480</xdr:colOff>
                    <xdr:row>6</xdr:row>
                    <xdr:rowOff>182880</xdr:rowOff>
                  </from>
                  <to>
                    <xdr:col>3</xdr:col>
                    <xdr:colOff>76200</xdr:colOff>
                    <xdr:row>8</xdr:row>
                    <xdr:rowOff>30480</xdr:rowOff>
                  </to>
                </anchor>
              </controlPr>
            </control>
          </mc:Choice>
        </mc:AlternateContent>
        <mc:AlternateContent xmlns:mc="http://schemas.openxmlformats.org/markup-compatibility/2006">
          <mc:Choice Requires="x14">
            <control shapeId="3092" r:id="rId12" name="Check Box 20">
              <controlPr defaultSize="0" autoFill="0" autoLine="0" autoPict="0">
                <anchor moveWithCells="1">
                  <from>
                    <xdr:col>2</xdr:col>
                    <xdr:colOff>30480</xdr:colOff>
                    <xdr:row>19</xdr:row>
                    <xdr:rowOff>182880</xdr:rowOff>
                  </from>
                  <to>
                    <xdr:col>2</xdr:col>
                    <xdr:colOff>259080</xdr:colOff>
                    <xdr:row>21</xdr:row>
                    <xdr:rowOff>0</xdr:rowOff>
                  </to>
                </anchor>
              </controlPr>
            </control>
          </mc:Choice>
        </mc:AlternateContent>
        <mc:AlternateContent xmlns:mc="http://schemas.openxmlformats.org/markup-compatibility/2006">
          <mc:Choice Requires="x14">
            <control shapeId="3093" r:id="rId13" name="Check Box 21">
              <controlPr defaultSize="0" autoFill="0" autoLine="0" autoPict="0">
                <anchor moveWithCells="1">
                  <from>
                    <xdr:col>2</xdr:col>
                    <xdr:colOff>30480</xdr:colOff>
                    <xdr:row>21</xdr:row>
                    <xdr:rowOff>0</xdr:rowOff>
                  </from>
                  <to>
                    <xdr:col>3</xdr:col>
                    <xdr:colOff>30480</xdr:colOff>
                    <xdr:row>21</xdr:row>
                    <xdr:rowOff>182880</xdr:rowOff>
                  </to>
                </anchor>
              </controlPr>
            </control>
          </mc:Choice>
        </mc:AlternateContent>
        <mc:AlternateContent xmlns:mc="http://schemas.openxmlformats.org/markup-compatibility/2006">
          <mc:Choice Requires="x14">
            <control shapeId="3094" r:id="rId14" name="Group Box 22">
              <controlPr defaultSize="0" autoFill="0" autoPict="0">
                <anchor moveWithCells="1">
                  <from>
                    <xdr:col>3</xdr:col>
                    <xdr:colOff>259080</xdr:colOff>
                    <xdr:row>8</xdr:row>
                    <xdr:rowOff>182880</xdr:rowOff>
                  </from>
                  <to>
                    <xdr:col>6</xdr:col>
                    <xdr:colOff>0</xdr:colOff>
                    <xdr:row>12</xdr:row>
                    <xdr:rowOff>0</xdr:rowOff>
                  </to>
                </anchor>
              </controlPr>
            </control>
          </mc:Choice>
        </mc:AlternateContent>
        <mc:AlternateContent xmlns:mc="http://schemas.openxmlformats.org/markup-compatibility/2006">
          <mc:Choice Requires="x14">
            <control shapeId="3096" r:id="rId15" name="Option Button 24">
              <controlPr defaultSize="0" autoFill="0" autoLine="0" autoPict="0">
                <anchor moveWithCells="1">
                  <from>
                    <xdr:col>4</xdr:col>
                    <xdr:colOff>38100</xdr:colOff>
                    <xdr:row>9</xdr:row>
                    <xdr:rowOff>38100</xdr:rowOff>
                  </from>
                  <to>
                    <xdr:col>4</xdr:col>
                    <xdr:colOff>2468880</xdr:colOff>
                    <xdr:row>10</xdr:row>
                    <xdr:rowOff>144780</xdr:rowOff>
                  </to>
                </anchor>
              </controlPr>
            </control>
          </mc:Choice>
        </mc:AlternateContent>
        <mc:AlternateContent xmlns:mc="http://schemas.openxmlformats.org/markup-compatibility/2006">
          <mc:Choice Requires="x14">
            <control shapeId="3097" r:id="rId16" name="Option Button 25">
              <controlPr defaultSize="0" autoFill="0" autoLine="0" autoPict="0">
                <anchor moveWithCells="1">
                  <from>
                    <xdr:col>4</xdr:col>
                    <xdr:colOff>68580</xdr:colOff>
                    <xdr:row>10</xdr:row>
                    <xdr:rowOff>114300</xdr:rowOff>
                  </from>
                  <to>
                    <xdr:col>4</xdr:col>
                    <xdr:colOff>2506980</xdr:colOff>
                    <xdr:row>11</xdr:row>
                    <xdr:rowOff>152400</xdr:rowOff>
                  </to>
                </anchor>
              </controlPr>
            </control>
          </mc:Choice>
        </mc:AlternateContent>
        <mc:AlternateContent xmlns:mc="http://schemas.openxmlformats.org/markup-compatibility/2006">
          <mc:Choice Requires="x14">
            <control shapeId="3098" r:id="rId17" name="Group Box 26">
              <controlPr defaultSize="0" autoFill="0" autoPict="0">
                <anchor moveWithCells="1">
                  <from>
                    <xdr:col>4</xdr:col>
                    <xdr:colOff>0</xdr:colOff>
                    <xdr:row>11</xdr:row>
                    <xdr:rowOff>182880</xdr:rowOff>
                  </from>
                  <to>
                    <xdr:col>6</xdr:col>
                    <xdr:colOff>30480</xdr:colOff>
                    <xdr:row>15</xdr:row>
                    <xdr:rowOff>30480</xdr:rowOff>
                  </to>
                </anchor>
              </controlPr>
            </control>
          </mc:Choice>
        </mc:AlternateContent>
        <mc:AlternateContent xmlns:mc="http://schemas.openxmlformats.org/markup-compatibility/2006">
          <mc:Choice Requires="x14">
            <control shapeId="3099" r:id="rId18" name="Option Button 27">
              <controlPr defaultSize="0" autoFill="0" autoLine="0" autoPict="0">
                <anchor moveWithCells="1">
                  <from>
                    <xdr:col>4</xdr:col>
                    <xdr:colOff>38100</xdr:colOff>
                    <xdr:row>12</xdr:row>
                    <xdr:rowOff>144780</xdr:rowOff>
                  </from>
                  <to>
                    <xdr:col>4</xdr:col>
                    <xdr:colOff>1287780</xdr:colOff>
                    <xdr:row>14</xdr:row>
                    <xdr:rowOff>68580</xdr:rowOff>
                  </to>
                </anchor>
              </controlPr>
            </control>
          </mc:Choice>
        </mc:AlternateContent>
        <mc:AlternateContent xmlns:mc="http://schemas.openxmlformats.org/markup-compatibility/2006">
          <mc:Choice Requires="x14">
            <control shapeId="3100" r:id="rId19" name="Option Button 28">
              <controlPr defaultSize="0" autoFill="0" autoLine="0" autoPict="0">
                <anchor moveWithCells="1">
                  <from>
                    <xdr:col>4</xdr:col>
                    <xdr:colOff>68580</xdr:colOff>
                    <xdr:row>13</xdr:row>
                    <xdr:rowOff>182880</xdr:rowOff>
                  </from>
                  <to>
                    <xdr:col>4</xdr:col>
                    <xdr:colOff>1211580</xdr:colOff>
                    <xdr:row>15</xdr:row>
                    <xdr:rowOff>30480</xdr:rowOff>
                  </to>
                </anchor>
              </controlPr>
            </control>
          </mc:Choice>
        </mc:AlternateContent>
        <mc:AlternateContent xmlns:mc="http://schemas.openxmlformats.org/markup-compatibility/2006">
          <mc:Choice Requires="x14">
            <control shapeId="3101" r:id="rId20" name="Group Box 29">
              <controlPr defaultSize="0" autoFill="0" autoPict="0">
                <anchor moveWithCells="1">
                  <from>
                    <xdr:col>4</xdr:col>
                    <xdr:colOff>30480</xdr:colOff>
                    <xdr:row>15</xdr:row>
                    <xdr:rowOff>0</xdr:rowOff>
                  </from>
                  <to>
                    <xdr:col>6</xdr:col>
                    <xdr:colOff>0</xdr:colOff>
                    <xdr:row>18</xdr:row>
                    <xdr:rowOff>30480</xdr:rowOff>
                  </to>
                </anchor>
              </controlPr>
            </control>
          </mc:Choice>
        </mc:AlternateContent>
        <mc:AlternateContent xmlns:mc="http://schemas.openxmlformats.org/markup-compatibility/2006">
          <mc:Choice Requires="x14">
            <control shapeId="3102" r:id="rId21" name="Option Button 30">
              <controlPr defaultSize="0" autoFill="0" autoLine="0" autoPict="0">
                <anchor moveWithCells="1">
                  <from>
                    <xdr:col>4</xdr:col>
                    <xdr:colOff>68580</xdr:colOff>
                    <xdr:row>15</xdr:row>
                    <xdr:rowOff>182880</xdr:rowOff>
                  </from>
                  <to>
                    <xdr:col>4</xdr:col>
                    <xdr:colOff>2887980</xdr:colOff>
                    <xdr:row>16</xdr:row>
                    <xdr:rowOff>182880</xdr:rowOff>
                  </to>
                </anchor>
              </controlPr>
            </control>
          </mc:Choice>
        </mc:AlternateContent>
        <mc:AlternateContent xmlns:mc="http://schemas.openxmlformats.org/markup-compatibility/2006">
          <mc:Choice Requires="x14">
            <control shapeId="3103" r:id="rId22" name="Option Button 31">
              <controlPr defaultSize="0" autoFill="0" autoLine="0" autoPict="0">
                <anchor moveWithCells="1">
                  <from>
                    <xdr:col>4</xdr:col>
                    <xdr:colOff>76200</xdr:colOff>
                    <xdr:row>16</xdr:row>
                    <xdr:rowOff>152400</xdr:rowOff>
                  </from>
                  <to>
                    <xdr:col>5</xdr:col>
                    <xdr:colOff>182880</xdr:colOff>
                    <xdr:row>17</xdr:row>
                    <xdr:rowOff>182880</xdr:rowOff>
                  </to>
                </anchor>
              </controlPr>
            </control>
          </mc:Choice>
        </mc:AlternateContent>
        <mc:AlternateContent xmlns:mc="http://schemas.openxmlformats.org/markup-compatibility/2006">
          <mc:Choice Requires="x14">
            <control shapeId="3105" r:id="rId23" name="Check Box 33">
              <controlPr defaultSize="0" autoFill="0" autoLine="0" autoPict="0">
                <anchor moveWithCells="1">
                  <from>
                    <xdr:col>2</xdr:col>
                    <xdr:colOff>30480</xdr:colOff>
                    <xdr:row>21</xdr:row>
                    <xdr:rowOff>144780</xdr:rowOff>
                  </from>
                  <to>
                    <xdr:col>4</xdr:col>
                    <xdr:colOff>76200</xdr:colOff>
                    <xdr:row>23</xdr:row>
                    <xdr:rowOff>30480</xdr:rowOff>
                  </to>
                </anchor>
              </controlPr>
            </control>
          </mc:Choice>
        </mc:AlternateContent>
        <mc:AlternateContent xmlns:mc="http://schemas.openxmlformats.org/markup-compatibility/2006">
          <mc:Choice Requires="x14">
            <control shapeId="3106" r:id="rId24" name="Check Box 34">
              <controlPr defaultSize="0" autoFill="0" autoLine="0" autoPict="0">
                <anchor moveWithCells="1">
                  <from>
                    <xdr:col>2</xdr:col>
                    <xdr:colOff>30480</xdr:colOff>
                    <xdr:row>22</xdr:row>
                    <xdr:rowOff>182880</xdr:rowOff>
                  </from>
                  <to>
                    <xdr:col>3</xdr:col>
                    <xdr:colOff>68580</xdr:colOff>
                    <xdr:row>24</xdr:row>
                    <xdr:rowOff>30480</xdr:rowOff>
                  </to>
                </anchor>
              </controlPr>
            </control>
          </mc:Choice>
        </mc:AlternateContent>
        <mc:AlternateContent xmlns:mc="http://schemas.openxmlformats.org/markup-compatibility/2006">
          <mc:Choice Requires="x14">
            <control shapeId="3107" r:id="rId25" name="Check Box 35">
              <controlPr defaultSize="0" autoFill="0" autoLine="0" autoPict="0">
                <anchor moveWithCells="1">
                  <from>
                    <xdr:col>2</xdr:col>
                    <xdr:colOff>0</xdr:colOff>
                    <xdr:row>29</xdr:row>
                    <xdr:rowOff>182880</xdr:rowOff>
                  </from>
                  <to>
                    <xdr:col>3</xdr:col>
                    <xdr:colOff>68580</xdr:colOff>
                    <xdr:row>31</xdr:row>
                    <xdr:rowOff>30480</xdr:rowOff>
                  </to>
                </anchor>
              </controlPr>
            </control>
          </mc:Choice>
        </mc:AlternateContent>
        <mc:AlternateContent xmlns:mc="http://schemas.openxmlformats.org/markup-compatibility/2006">
          <mc:Choice Requires="x14">
            <control shapeId="3108" r:id="rId26" name="Check Box 36">
              <controlPr defaultSize="0" autoFill="0" autoLine="0" autoPict="0">
                <anchor moveWithCells="1">
                  <from>
                    <xdr:col>2</xdr:col>
                    <xdr:colOff>0</xdr:colOff>
                    <xdr:row>30</xdr:row>
                    <xdr:rowOff>182880</xdr:rowOff>
                  </from>
                  <to>
                    <xdr:col>3</xdr:col>
                    <xdr:colOff>68580</xdr:colOff>
                    <xdr:row>32</xdr:row>
                    <xdr:rowOff>30480</xdr:rowOff>
                  </to>
                </anchor>
              </controlPr>
            </control>
          </mc:Choice>
        </mc:AlternateContent>
        <mc:AlternateContent xmlns:mc="http://schemas.openxmlformats.org/markup-compatibility/2006">
          <mc:Choice Requires="x14">
            <control shapeId="3109" r:id="rId27" name="Group Box 37">
              <controlPr defaultSize="0" autoFill="0" autoPict="0">
                <anchor moveWithCells="1">
                  <from>
                    <xdr:col>4</xdr:col>
                    <xdr:colOff>30480</xdr:colOff>
                    <xdr:row>24</xdr:row>
                    <xdr:rowOff>0</xdr:rowOff>
                  </from>
                  <to>
                    <xdr:col>6</xdr:col>
                    <xdr:colOff>30480</xdr:colOff>
                    <xdr:row>29</xdr:row>
                    <xdr:rowOff>0</xdr:rowOff>
                  </to>
                </anchor>
              </controlPr>
            </control>
          </mc:Choice>
        </mc:AlternateContent>
        <mc:AlternateContent xmlns:mc="http://schemas.openxmlformats.org/markup-compatibility/2006">
          <mc:Choice Requires="x14">
            <control shapeId="3110" r:id="rId28" name="Option Button 38">
              <controlPr defaultSize="0" autoFill="0" autoLine="0" autoPict="0">
                <anchor moveWithCells="1">
                  <from>
                    <xdr:col>4</xdr:col>
                    <xdr:colOff>182880</xdr:colOff>
                    <xdr:row>25</xdr:row>
                    <xdr:rowOff>114300</xdr:rowOff>
                  </from>
                  <to>
                    <xdr:col>4</xdr:col>
                    <xdr:colOff>2392680</xdr:colOff>
                    <xdr:row>26</xdr:row>
                    <xdr:rowOff>182880</xdr:rowOff>
                  </to>
                </anchor>
              </controlPr>
            </control>
          </mc:Choice>
        </mc:AlternateContent>
        <mc:AlternateContent xmlns:mc="http://schemas.openxmlformats.org/markup-compatibility/2006">
          <mc:Choice Requires="x14">
            <control shapeId="3111" r:id="rId29" name="Option Button 39">
              <controlPr defaultSize="0" autoFill="0" autoLine="0" autoPict="0">
                <anchor moveWithCells="1">
                  <from>
                    <xdr:col>4</xdr:col>
                    <xdr:colOff>182880</xdr:colOff>
                    <xdr:row>27</xdr:row>
                    <xdr:rowOff>0</xdr:rowOff>
                  </from>
                  <to>
                    <xdr:col>4</xdr:col>
                    <xdr:colOff>2621280</xdr:colOff>
                    <xdr:row>27</xdr:row>
                    <xdr:rowOff>182880</xdr:rowOff>
                  </to>
                </anchor>
              </controlPr>
            </control>
          </mc:Choice>
        </mc:AlternateContent>
        <mc:AlternateContent xmlns:mc="http://schemas.openxmlformats.org/markup-compatibility/2006">
          <mc:Choice Requires="x14">
            <control shapeId="3112" r:id="rId30" name="Check Box 40">
              <controlPr defaultSize="0" autoFill="0" autoLine="0" autoPict="0">
                <anchor moveWithCells="1">
                  <from>
                    <xdr:col>1</xdr:col>
                    <xdr:colOff>38100</xdr:colOff>
                    <xdr:row>32</xdr:row>
                    <xdr:rowOff>0</xdr:rowOff>
                  </from>
                  <to>
                    <xdr:col>4</xdr:col>
                    <xdr:colOff>685800</xdr:colOff>
                    <xdr:row>33</xdr:row>
                    <xdr:rowOff>0</xdr:rowOff>
                  </to>
                </anchor>
              </controlPr>
            </control>
          </mc:Choice>
        </mc:AlternateContent>
        <mc:AlternateContent xmlns:mc="http://schemas.openxmlformats.org/markup-compatibility/2006">
          <mc:Choice Requires="x14">
            <control shapeId="3113" r:id="rId31" name="Check Box 41">
              <controlPr defaultSize="0" autoFill="0" autoLine="0" autoPict="0">
                <anchor moveWithCells="1">
                  <from>
                    <xdr:col>2</xdr:col>
                    <xdr:colOff>38100</xdr:colOff>
                    <xdr:row>38</xdr:row>
                    <xdr:rowOff>182880</xdr:rowOff>
                  </from>
                  <to>
                    <xdr:col>3</xdr:col>
                    <xdr:colOff>106680</xdr:colOff>
                    <xdr:row>40</xdr:row>
                    <xdr:rowOff>0</xdr:rowOff>
                  </to>
                </anchor>
              </controlPr>
            </control>
          </mc:Choice>
        </mc:AlternateContent>
        <mc:AlternateContent xmlns:mc="http://schemas.openxmlformats.org/markup-compatibility/2006">
          <mc:Choice Requires="x14">
            <control shapeId="3114" r:id="rId32" name="Check Box 42">
              <controlPr defaultSize="0" autoFill="0" autoLine="0" autoPict="0">
                <anchor moveWithCells="1">
                  <from>
                    <xdr:col>2</xdr:col>
                    <xdr:colOff>30480</xdr:colOff>
                    <xdr:row>47</xdr:row>
                    <xdr:rowOff>0</xdr:rowOff>
                  </from>
                  <to>
                    <xdr:col>4</xdr:col>
                    <xdr:colOff>1524000</xdr:colOff>
                    <xdr:row>47</xdr:row>
                    <xdr:rowOff>182880</xdr:rowOff>
                  </to>
                </anchor>
              </controlPr>
            </control>
          </mc:Choice>
        </mc:AlternateContent>
        <mc:AlternateContent xmlns:mc="http://schemas.openxmlformats.org/markup-compatibility/2006">
          <mc:Choice Requires="x14">
            <control shapeId="3115" r:id="rId33" name="Group Box 43">
              <controlPr defaultSize="0" autoFill="0" autoPict="0">
                <anchor moveWithCells="1">
                  <from>
                    <xdr:col>3</xdr:col>
                    <xdr:colOff>259080</xdr:colOff>
                    <xdr:row>40</xdr:row>
                    <xdr:rowOff>30480</xdr:rowOff>
                  </from>
                  <to>
                    <xdr:col>6</xdr:col>
                    <xdr:colOff>30480</xdr:colOff>
                    <xdr:row>42</xdr:row>
                    <xdr:rowOff>182880</xdr:rowOff>
                  </to>
                </anchor>
              </controlPr>
            </control>
          </mc:Choice>
        </mc:AlternateContent>
        <mc:AlternateContent xmlns:mc="http://schemas.openxmlformats.org/markup-compatibility/2006">
          <mc:Choice Requires="x14">
            <control shapeId="3116" r:id="rId34" name="Option Button 44">
              <controlPr defaultSize="0" autoFill="0" autoLine="0" autoPict="0">
                <anchor moveWithCells="1">
                  <from>
                    <xdr:col>4</xdr:col>
                    <xdr:colOff>182880</xdr:colOff>
                    <xdr:row>40</xdr:row>
                    <xdr:rowOff>152400</xdr:rowOff>
                  </from>
                  <to>
                    <xdr:col>4</xdr:col>
                    <xdr:colOff>1706880</xdr:colOff>
                    <xdr:row>41</xdr:row>
                    <xdr:rowOff>144780</xdr:rowOff>
                  </to>
                </anchor>
              </controlPr>
            </control>
          </mc:Choice>
        </mc:AlternateContent>
        <mc:AlternateContent xmlns:mc="http://schemas.openxmlformats.org/markup-compatibility/2006">
          <mc:Choice Requires="x14">
            <control shapeId="3117" r:id="rId35" name="Option Button 45">
              <controlPr defaultSize="0" autoFill="0" autoLine="0" autoPict="0">
                <anchor moveWithCells="1">
                  <from>
                    <xdr:col>4</xdr:col>
                    <xdr:colOff>182880</xdr:colOff>
                    <xdr:row>41</xdr:row>
                    <xdr:rowOff>144780</xdr:rowOff>
                  </from>
                  <to>
                    <xdr:col>4</xdr:col>
                    <xdr:colOff>2773680</xdr:colOff>
                    <xdr:row>42</xdr:row>
                    <xdr:rowOff>144780</xdr:rowOff>
                  </to>
                </anchor>
              </controlPr>
            </control>
          </mc:Choice>
        </mc:AlternateContent>
        <mc:AlternateContent xmlns:mc="http://schemas.openxmlformats.org/markup-compatibility/2006">
          <mc:Choice Requires="x14">
            <control shapeId="3118" r:id="rId36" name="Group Box 46">
              <controlPr defaultSize="0" autoFill="0" autoPict="0">
                <anchor moveWithCells="1">
                  <from>
                    <xdr:col>3</xdr:col>
                    <xdr:colOff>259080</xdr:colOff>
                    <xdr:row>43</xdr:row>
                    <xdr:rowOff>0</xdr:rowOff>
                  </from>
                  <to>
                    <xdr:col>6</xdr:col>
                    <xdr:colOff>30480</xdr:colOff>
                    <xdr:row>45</xdr:row>
                    <xdr:rowOff>182880</xdr:rowOff>
                  </to>
                </anchor>
              </controlPr>
            </control>
          </mc:Choice>
        </mc:AlternateContent>
        <mc:AlternateContent xmlns:mc="http://schemas.openxmlformats.org/markup-compatibility/2006">
          <mc:Choice Requires="x14">
            <control shapeId="3119" r:id="rId37" name="Option Button 47">
              <controlPr defaultSize="0" autoFill="0" autoLine="0" autoPict="0">
                <anchor moveWithCells="1">
                  <from>
                    <xdr:col>4</xdr:col>
                    <xdr:colOff>182880</xdr:colOff>
                    <xdr:row>43</xdr:row>
                    <xdr:rowOff>106680</xdr:rowOff>
                  </from>
                  <to>
                    <xdr:col>4</xdr:col>
                    <xdr:colOff>2545080</xdr:colOff>
                    <xdr:row>44</xdr:row>
                    <xdr:rowOff>106680</xdr:rowOff>
                  </to>
                </anchor>
              </controlPr>
            </control>
          </mc:Choice>
        </mc:AlternateContent>
        <mc:AlternateContent xmlns:mc="http://schemas.openxmlformats.org/markup-compatibility/2006">
          <mc:Choice Requires="x14">
            <control shapeId="3120" r:id="rId38" name="Option Button 48">
              <controlPr defaultSize="0" autoFill="0" autoLine="0" autoPict="0">
                <anchor moveWithCells="1">
                  <from>
                    <xdr:col>4</xdr:col>
                    <xdr:colOff>182880</xdr:colOff>
                    <xdr:row>44</xdr:row>
                    <xdr:rowOff>144780</xdr:rowOff>
                  </from>
                  <to>
                    <xdr:col>5</xdr:col>
                    <xdr:colOff>525780</xdr:colOff>
                    <xdr:row>45</xdr:row>
                    <xdr:rowOff>182880</xdr:rowOff>
                  </to>
                </anchor>
              </controlPr>
            </control>
          </mc:Choice>
        </mc:AlternateContent>
        <mc:AlternateContent xmlns:mc="http://schemas.openxmlformats.org/markup-compatibility/2006">
          <mc:Choice Requires="x14">
            <control shapeId="3121" r:id="rId39" name="Check Box 49">
              <controlPr defaultSize="0" autoFill="0" autoLine="0" autoPict="0">
                <anchor moveWithCells="1">
                  <from>
                    <xdr:col>1</xdr:col>
                    <xdr:colOff>38100</xdr:colOff>
                    <xdr:row>47</xdr:row>
                    <xdr:rowOff>182880</xdr:rowOff>
                  </from>
                  <to>
                    <xdr:col>2</xdr:col>
                    <xdr:colOff>68580</xdr:colOff>
                    <xdr:row>49</xdr:row>
                    <xdr:rowOff>30480</xdr:rowOff>
                  </to>
                </anchor>
              </controlPr>
            </control>
          </mc:Choice>
        </mc:AlternateContent>
        <mc:AlternateContent xmlns:mc="http://schemas.openxmlformats.org/markup-compatibility/2006">
          <mc:Choice Requires="x14">
            <control shapeId="3122" r:id="rId40" name="Group Box 50">
              <controlPr defaultSize="0" autoFill="0" autoPict="0">
                <anchor moveWithCells="1">
                  <from>
                    <xdr:col>3</xdr:col>
                    <xdr:colOff>259080</xdr:colOff>
                    <xdr:row>49</xdr:row>
                    <xdr:rowOff>30480</xdr:rowOff>
                  </from>
                  <to>
                    <xdr:col>6</xdr:col>
                    <xdr:colOff>0</xdr:colOff>
                    <xdr:row>54</xdr:row>
                    <xdr:rowOff>30480</xdr:rowOff>
                  </to>
                </anchor>
              </controlPr>
            </control>
          </mc:Choice>
        </mc:AlternateContent>
        <mc:AlternateContent xmlns:mc="http://schemas.openxmlformats.org/markup-compatibility/2006">
          <mc:Choice Requires="x14">
            <control shapeId="3123" r:id="rId41" name="Option Button 51">
              <controlPr defaultSize="0" autoFill="0" autoLine="0" autoPict="0">
                <anchor moveWithCells="1">
                  <from>
                    <xdr:col>4</xdr:col>
                    <xdr:colOff>259080</xdr:colOff>
                    <xdr:row>49</xdr:row>
                    <xdr:rowOff>182880</xdr:rowOff>
                  </from>
                  <to>
                    <xdr:col>4</xdr:col>
                    <xdr:colOff>2286000</xdr:colOff>
                    <xdr:row>51</xdr:row>
                    <xdr:rowOff>30480</xdr:rowOff>
                  </to>
                </anchor>
              </controlPr>
            </control>
          </mc:Choice>
        </mc:AlternateContent>
        <mc:AlternateContent xmlns:mc="http://schemas.openxmlformats.org/markup-compatibility/2006">
          <mc:Choice Requires="x14">
            <control shapeId="3124" r:id="rId42" name="Option Button 52">
              <controlPr defaultSize="0" autoFill="0" autoLine="0" autoPict="0">
                <anchor moveWithCells="1">
                  <from>
                    <xdr:col>4</xdr:col>
                    <xdr:colOff>228600</xdr:colOff>
                    <xdr:row>51</xdr:row>
                    <xdr:rowOff>68580</xdr:rowOff>
                  </from>
                  <to>
                    <xdr:col>4</xdr:col>
                    <xdr:colOff>2316480</xdr:colOff>
                    <xdr:row>52</xdr:row>
                    <xdr:rowOff>106680</xdr:rowOff>
                  </to>
                </anchor>
              </controlPr>
            </control>
          </mc:Choice>
        </mc:AlternateContent>
        <mc:AlternateContent xmlns:mc="http://schemas.openxmlformats.org/markup-compatibility/2006">
          <mc:Choice Requires="x14">
            <control shapeId="3125" r:id="rId43" name="Option Button 53">
              <controlPr defaultSize="0" autoFill="0" autoLine="0" autoPict="0">
                <anchor moveWithCells="1">
                  <from>
                    <xdr:col>4</xdr:col>
                    <xdr:colOff>228600</xdr:colOff>
                    <xdr:row>52</xdr:row>
                    <xdr:rowOff>106680</xdr:rowOff>
                  </from>
                  <to>
                    <xdr:col>5</xdr:col>
                    <xdr:colOff>792480</xdr:colOff>
                    <xdr:row>53</xdr:row>
                    <xdr:rowOff>182880</xdr:rowOff>
                  </to>
                </anchor>
              </controlPr>
            </control>
          </mc:Choice>
        </mc:AlternateContent>
        <mc:AlternateContent xmlns:mc="http://schemas.openxmlformats.org/markup-compatibility/2006">
          <mc:Choice Requires="x14">
            <control shapeId="3126" r:id="rId44" name="Group Box 54">
              <controlPr defaultSize="0" autoFill="0" autoPict="0">
                <anchor moveWithCells="1">
                  <from>
                    <xdr:col>3</xdr:col>
                    <xdr:colOff>259080</xdr:colOff>
                    <xdr:row>56</xdr:row>
                    <xdr:rowOff>0</xdr:rowOff>
                  </from>
                  <to>
                    <xdr:col>6</xdr:col>
                    <xdr:colOff>0</xdr:colOff>
                    <xdr:row>59</xdr:row>
                    <xdr:rowOff>182880</xdr:rowOff>
                  </to>
                </anchor>
              </controlPr>
            </control>
          </mc:Choice>
        </mc:AlternateContent>
        <mc:AlternateContent xmlns:mc="http://schemas.openxmlformats.org/markup-compatibility/2006">
          <mc:Choice Requires="x14">
            <control shapeId="3127" r:id="rId45" name="Option Button 55">
              <controlPr defaultSize="0" autoFill="0" autoLine="0" autoPict="0">
                <anchor moveWithCells="1">
                  <from>
                    <xdr:col>4</xdr:col>
                    <xdr:colOff>220980</xdr:colOff>
                    <xdr:row>56</xdr:row>
                    <xdr:rowOff>182880</xdr:rowOff>
                  </from>
                  <to>
                    <xdr:col>5</xdr:col>
                    <xdr:colOff>30480</xdr:colOff>
                    <xdr:row>58</xdr:row>
                    <xdr:rowOff>30480</xdr:rowOff>
                  </to>
                </anchor>
              </controlPr>
            </control>
          </mc:Choice>
        </mc:AlternateContent>
        <mc:AlternateContent xmlns:mc="http://schemas.openxmlformats.org/markup-compatibility/2006">
          <mc:Choice Requires="x14">
            <control shapeId="3128" r:id="rId46" name="Option Button 56">
              <controlPr defaultSize="0" autoFill="0" autoLine="0" autoPict="0">
                <anchor moveWithCells="1">
                  <from>
                    <xdr:col>4</xdr:col>
                    <xdr:colOff>220980</xdr:colOff>
                    <xdr:row>58</xdr:row>
                    <xdr:rowOff>0</xdr:rowOff>
                  </from>
                  <to>
                    <xdr:col>5</xdr:col>
                    <xdr:colOff>982980</xdr:colOff>
                    <xdr:row>59</xdr:row>
                    <xdr:rowOff>68580</xdr:rowOff>
                  </to>
                </anchor>
              </controlPr>
            </control>
          </mc:Choice>
        </mc:AlternateContent>
        <mc:AlternateContent xmlns:mc="http://schemas.openxmlformats.org/markup-compatibility/2006">
          <mc:Choice Requires="x14">
            <control shapeId="3129" r:id="rId47" name="Check Box 57">
              <controlPr defaultSize="0" autoFill="0" autoLine="0" autoPict="0">
                <anchor moveWithCells="1">
                  <from>
                    <xdr:col>1</xdr:col>
                    <xdr:colOff>30480</xdr:colOff>
                    <xdr:row>53</xdr:row>
                    <xdr:rowOff>182880</xdr:rowOff>
                  </from>
                  <to>
                    <xdr:col>2</xdr:col>
                    <xdr:colOff>68580</xdr:colOff>
                    <xdr:row>55</xdr:row>
                    <xdr:rowOff>30480</xdr:rowOff>
                  </to>
                </anchor>
              </controlPr>
            </control>
          </mc:Choice>
        </mc:AlternateContent>
        <mc:AlternateContent xmlns:mc="http://schemas.openxmlformats.org/markup-compatibility/2006">
          <mc:Choice Requires="x14">
            <control shapeId="3130" r:id="rId48" name="Check Box 58">
              <controlPr defaultSize="0" autoFill="0" autoLine="0" autoPict="0">
                <anchor moveWithCells="1">
                  <from>
                    <xdr:col>2</xdr:col>
                    <xdr:colOff>30480</xdr:colOff>
                    <xdr:row>54</xdr:row>
                    <xdr:rowOff>182880</xdr:rowOff>
                  </from>
                  <to>
                    <xdr:col>3</xdr:col>
                    <xdr:colOff>76200</xdr:colOff>
                    <xdr:row>56</xdr:row>
                    <xdr:rowOff>30480</xdr:rowOff>
                  </to>
                </anchor>
              </controlPr>
            </control>
          </mc:Choice>
        </mc:AlternateContent>
        <mc:AlternateContent xmlns:mc="http://schemas.openxmlformats.org/markup-compatibility/2006">
          <mc:Choice Requires="x14">
            <control shapeId="3131" r:id="rId49" name="Check Box 59">
              <controlPr defaultSize="0" autoFill="0" autoLine="0" autoPict="0">
                <anchor moveWithCells="1">
                  <from>
                    <xdr:col>2</xdr:col>
                    <xdr:colOff>30480</xdr:colOff>
                    <xdr:row>59</xdr:row>
                    <xdr:rowOff>182880</xdr:rowOff>
                  </from>
                  <to>
                    <xdr:col>3</xdr:col>
                    <xdr:colOff>68580</xdr:colOff>
                    <xdr:row>61</xdr:row>
                    <xdr:rowOff>30480</xdr:rowOff>
                  </to>
                </anchor>
              </controlPr>
            </control>
          </mc:Choice>
        </mc:AlternateContent>
        <mc:AlternateContent xmlns:mc="http://schemas.openxmlformats.org/markup-compatibility/2006">
          <mc:Choice Requires="x14">
            <control shapeId="3132" r:id="rId50" name="Group Box 60">
              <controlPr defaultSize="0" autoFill="0" autoPict="0">
                <anchor moveWithCells="1">
                  <from>
                    <xdr:col>3</xdr:col>
                    <xdr:colOff>259080</xdr:colOff>
                    <xdr:row>61</xdr:row>
                    <xdr:rowOff>30480</xdr:rowOff>
                  </from>
                  <to>
                    <xdr:col>6</xdr:col>
                    <xdr:colOff>30480</xdr:colOff>
                    <xdr:row>65</xdr:row>
                    <xdr:rowOff>0</xdr:rowOff>
                  </to>
                </anchor>
              </controlPr>
            </control>
          </mc:Choice>
        </mc:AlternateContent>
        <mc:AlternateContent xmlns:mc="http://schemas.openxmlformats.org/markup-compatibility/2006">
          <mc:Choice Requires="x14">
            <control shapeId="3133" r:id="rId51" name="Option Button 61">
              <controlPr defaultSize="0" autoFill="0" autoLine="0" autoPict="0">
                <anchor moveWithCells="1">
                  <from>
                    <xdr:col>4</xdr:col>
                    <xdr:colOff>259080</xdr:colOff>
                    <xdr:row>62</xdr:row>
                    <xdr:rowOff>0</xdr:rowOff>
                  </from>
                  <to>
                    <xdr:col>5</xdr:col>
                    <xdr:colOff>762000</xdr:colOff>
                    <xdr:row>63</xdr:row>
                    <xdr:rowOff>68580</xdr:rowOff>
                  </to>
                </anchor>
              </controlPr>
            </control>
          </mc:Choice>
        </mc:AlternateContent>
        <mc:AlternateContent xmlns:mc="http://schemas.openxmlformats.org/markup-compatibility/2006">
          <mc:Choice Requires="x14">
            <control shapeId="3134" r:id="rId52" name="Option Button 62">
              <controlPr defaultSize="0" autoFill="0" autoLine="0" autoPict="0">
                <anchor moveWithCells="1">
                  <from>
                    <xdr:col>4</xdr:col>
                    <xdr:colOff>228600</xdr:colOff>
                    <xdr:row>63</xdr:row>
                    <xdr:rowOff>30480</xdr:rowOff>
                  </from>
                  <to>
                    <xdr:col>5</xdr:col>
                    <xdr:colOff>914400</xdr:colOff>
                    <xdr:row>64</xdr:row>
                    <xdr:rowOff>106680</xdr:rowOff>
                  </to>
                </anchor>
              </controlPr>
            </control>
          </mc:Choice>
        </mc:AlternateContent>
        <mc:AlternateContent xmlns:mc="http://schemas.openxmlformats.org/markup-compatibility/2006">
          <mc:Choice Requires="x14">
            <control shapeId="3135" r:id="rId53" name="Check Box 63">
              <controlPr defaultSize="0" autoFill="0" autoLine="0" autoPict="0">
                <anchor moveWithCells="1">
                  <from>
                    <xdr:col>2</xdr:col>
                    <xdr:colOff>30480</xdr:colOff>
                    <xdr:row>64</xdr:row>
                    <xdr:rowOff>182880</xdr:rowOff>
                  </from>
                  <to>
                    <xdr:col>3</xdr:col>
                    <xdr:colOff>68580</xdr:colOff>
                    <xdr:row>66</xdr:row>
                    <xdr:rowOff>30480</xdr:rowOff>
                  </to>
                </anchor>
              </controlPr>
            </control>
          </mc:Choice>
        </mc:AlternateContent>
        <mc:AlternateContent xmlns:mc="http://schemas.openxmlformats.org/markup-compatibility/2006">
          <mc:Choice Requires="x14">
            <control shapeId="3136" r:id="rId54" name="Group Box 64">
              <controlPr defaultSize="0" autoFill="0" autoPict="0">
                <anchor moveWithCells="1">
                  <from>
                    <xdr:col>4</xdr:col>
                    <xdr:colOff>30480</xdr:colOff>
                    <xdr:row>66</xdr:row>
                    <xdr:rowOff>0</xdr:rowOff>
                  </from>
                  <to>
                    <xdr:col>6</xdr:col>
                    <xdr:colOff>0</xdr:colOff>
                    <xdr:row>70</xdr:row>
                    <xdr:rowOff>0</xdr:rowOff>
                  </to>
                </anchor>
              </controlPr>
            </control>
          </mc:Choice>
        </mc:AlternateContent>
        <mc:AlternateContent xmlns:mc="http://schemas.openxmlformats.org/markup-compatibility/2006">
          <mc:Choice Requires="x14">
            <control shapeId="3137" r:id="rId55" name="Option Button 65">
              <controlPr defaultSize="0" autoFill="0" autoLine="0" autoPict="0">
                <anchor moveWithCells="1">
                  <from>
                    <xdr:col>4</xdr:col>
                    <xdr:colOff>220980</xdr:colOff>
                    <xdr:row>66</xdr:row>
                    <xdr:rowOff>182880</xdr:rowOff>
                  </from>
                  <to>
                    <xdr:col>5</xdr:col>
                    <xdr:colOff>868680</xdr:colOff>
                    <xdr:row>68</xdr:row>
                    <xdr:rowOff>38100</xdr:rowOff>
                  </to>
                </anchor>
              </controlPr>
            </control>
          </mc:Choice>
        </mc:AlternateContent>
        <mc:AlternateContent xmlns:mc="http://schemas.openxmlformats.org/markup-compatibility/2006">
          <mc:Choice Requires="x14">
            <control shapeId="3138" r:id="rId56" name="Option Button 66">
              <controlPr defaultSize="0" autoFill="0" autoLine="0" autoPict="0">
                <anchor moveWithCells="1">
                  <from>
                    <xdr:col>4</xdr:col>
                    <xdr:colOff>228600</xdr:colOff>
                    <xdr:row>68</xdr:row>
                    <xdr:rowOff>38100</xdr:rowOff>
                  </from>
                  <to>
                    <xdr:col>5</xdr:col>
                    <xdr:colOff>914400</xdr:colOff>
                    <xdr:row>69</xdr:row>
                    <xdr:rowOff>106680</xdr:rowOff>
                  </to>
                </anchor>
              </controlPr>
            </control>
          </mc:Choice>
        </mc:AlternateContent>
        <mc:AlternateContent xmlns:mc="http://schemas.openxmlformats.org/markup-compatibility/2006">
          <mc:Choice Requires="x14">
            <control shapeId="3139" r:id="rId57" name="Check Box 67">
              <controlPr defaultSize="0" autoFill="0" autoLine="0" autoPict="0">
                <anchor moveWithCells="1">
                  <from>
                    <xdr:col>2</xdr:col>
                    <xdr:colOff>30480</xdr:colOff>
                    <xdr:row>70</xdr:row>
                    <xdr:rowOff>182880</xdr:rowOff>
                  </from>
                  <to>
                    <xdr:col>4</xdr:col>
                    <xdr:colOff>190500</xdr:colOff>
                    <xdr:row>72</xdr:row>
                    <xdr:rowOff>68580</xdr:rowOff>
                  </to>
                </anchor>
              </controlPr>
            </control>
          </mc:Choice>
        </mc:AlternateContent>
        <mc:AlternateContent xmlns:mc="http://schemas.openxmlformats.org/markup-compatibility/2006">
          <mc:Choice Requires="x14">
            <control shapeId="3140" r:id="rId58" name="Check Box 68">
              <controlPr defaultSize="0" autoFill="0" autoLine="0" autoPict="0">
                <anchor moveWithCells="1">
                  <from>
                    <xdr:col>1</xdr:col>
                    <xdr:colOff>30480</xdr:colOff>
                    <xdr:row>72</xdr:row>
                    <xdr:rowOff>0</xdr:rowOff>
                  </from>
                  <to>
                    <xdr:col>2</xdr:col>
                    <xdr:colOff>68580</xdr:colOff>
                    <xdr:row>73</xdr:row>
                    <xdr:rowOff>30480</xdr:rowOff>
                  </to>
                </anchor>
              </controlPr>
            </control>
          </mc:Choice>
        </mc:AlternateContent>
        <mc:AlternateContent xmlns:mc="http://schemas.openxmlformats.org/markup-compatibility/2006">
          <mc:Choice Requires="x14">
            <control shapeId="3141" r:id="rId59" name="Group Box 69">
              <controlPr defaultSize="0" autoFill="0" autoPict="0">
                <anchor moveWithCells="1">
                  <from>
                    <xdr:col>3</xdr:col>
                    <xdr:colOff>259080</xdr:colOff>
                    <xdr:row>73</xdr:row>
                    <xdr:rowOff>0</xdr:rowOff>
                  </from>
                  <to>
                    <xdr:col>6</xdr:col>
                    <xdr:colOff>0</xdr:colOff>
                    <xdr:row>79</xdr:row>
                    <xdr:rowOff>0</xdr:rowOff>
                  </to>
                </anchor>
              </controlPr>
            </control>
          </mc:Choice>
        </mc:AlternateContent>
        <mc:AlternateContent xmlns:mc="http://schemas.openxmlformats.org/markup-compatibility/2006">
          <mc:Choice Requires="x14">
            <control shapeId="3142" r:id="rId60" name="Option Button 70">
              <controlPr defaultSize="0" autoFill="0" autoLine="0" autoPict="0">
                <anchor moveWithCells="1">
                  <from>
                    <xdr:col>4</xdr:col>
                    <xdr:colOff>220980</xdr:colOff>
                    <xdr:row>74</xdr:row>
                    <xdr:rowOff>0</xdr:rowOff>
                  </from>
                  <to>
                    <xdr:col>4</xdr:col>
                    <xdr:colOff>2583180</xdr:colOff>
                    <xdr:row>75</xdr:row>
                    <xdr:rowOff>30480</xdr:rowOff>
                  </to>
                </anchor>
              </controlPr>
            </control>
          </mc:Choice>
        </mc:AlternateContent>
        <mc:AlternateContent xmlns:mc="http://schemas.openxmlformats.org/markup-compatibility/2006">
          <mc:Choice Requires="x14">
            <control shapeId="3143" r:id="rId61" name="Option Button 71">
              <controlPr defaultSize="0" autoFill="0" autoLine="0" autoPict="0">
                <anchor moveWithCells="1">
                  <from>
                    <xdr:col>4</xdr:col>
                    <xdr:colOff>228600</xdr:colOff>
                    <xdr:row>75</xdr:row>
                    <xdr:rowOff>68580</xdr:rowOff>
                  </from>
                  <to>
                    <xdr:col>4</xdr:col>
                    <xdr:colOff>1744980</xdr:colOff>
                    <xdr:row>76</xdr:row>
                    <xdr:rowOff>76200</xdr:rowOff>
                  </to>
                </anchor>
              </controlPr>
            </control>
          </mc:Choice>
        </mc:AlternateContent>
        <mc:AlternateContent xmlns:mc="http://schemas.openxmlformats.org/markup-compatibility/2006">
          <mc:Choice Requires="x14">
            <control shapeId="3144" r:id="rId62" name="Option Button 72">
              <controlPr defaultSize="0" autoFill="0" autoLine="0" autoPict="0">
                <anchor moveWithCells="1">
                  <from>
                    <xdr:col>4</xdr:col>
                    <xdr:colOff>259080</xdr:colOff>
                    <xdr:row>76</xdr:row>
                    <xdr:rowOff>106680</xdr:rowOff>
                  </from>
                  <to>
                    <xdr:col>4</xdr:col>
                    <xdr:colOff>2430780</xdr:colOff>
                    <xdr:row>77</xdr:row>
                    <xdr:rowOff>182880</xdr:rowOff>
                  </to>
                </anchor>
              </controlPr>
            </control>
          </mc:Choice>
        </mc:AlternateContent>
        <mc:AlternateContent xmlns:mc="http://schemas.openxmlformats.org/markup-compatibility/2006">
          <mc:Choice Requires="x14">
            <control shapeId="3145" r:id="rId63" name="Group Box 73">
              <controlPr defaultSize="0" autoFill="0" autoPict="0">
                <anchor moveWithCells="1">
                  <from>
                    <xdr:col>3</xdr:col>
                    <xdr:colOff>259080</xdr:colOff>
                    <xdr:row>79</xdr:row>
                    <xdr:rowOff>0</xdr:rowOff>
                  </from>
                  <to>
                    <xdr:col>5</xdr:col>
                    <xdr:colOff>1021080</xdr:colOff>
                    <xdr:row>87</xdr:row>
                    <xdr:rowOff>0</xdr:rowOff>
                  </to>
                </anchor>
              </controlPr>
            </control>
          </mc:Choice>
        </mc:AlternateContent>
        <mc:AlternateContent xmlns:mc="http://schemas.openxmlformats.org/markup-compatibility/2006">
          <mc:Choice Requires="x14">
            <control shapeId="3146" r:id="rId64" name="Option Button 74">
              <controlPr defaultSize="0" autoFill="0" autoLine="0" autoPict="0">
                <anchor moveWithCells="1">
                  <from>
                    <xdr:col>4</xdr:col>
                    <xdr:colOff>259080</xdr:colOff>
                    <xdr:row>80</xdr:row>
                    <xdr:rowOff>0</xdr:rowOff>
                  </from>
                  <to>
                    <xdr:col>5</xdr:col>
                    <xdr:colOff>754380</xdr:colOff>
                    <xdr:row>81</xdr:row>
                    <xdr:rowOff>68580</xdr:rowOff>
                  </to>
                </anchor>
              </controlPr>
            </control>
          </mc:Choice>
        </mc:AlternateContent>
        <mc:AlternateContent xmlns:mc="http://schemas.openxmlformats.org/markup-compatibility/2006">
          <mc:Choice Requires="x14">
            <control shapeId="3147" r:id="rId65" name="Option Button 75">
              <controlPr defaultSize="0" autoFill="0" autoLine="0" autoPict="0">
                <anchor moveWithCells="1">
                  <from>
                    <xdr:col>4</xdr:col>
                    <xdr:colOff>228600</xdr:colOff>
                    <xdr:row>81</xdr:row>
                    <xdr:rowOff>106680</xdr:rowOff>
                  </from>
                  <to>
                    <xdr:col>4</xdr:col>
                    <xdr:colOff>2583180</xdr:colOff>
                    <xdr:row>82</xdr:row>
                    <xdr:rowOff>144780</xdr:rowOff>
                  </to>
                </anchor>
              </controlPr>
            </control>
          </mc:Choice>
        </mc:AlternateContent>
        <mc:AlternateContent xmlns:mc="http://schemas.openxmlformats.org/markup-compatibility/2006">
          <mc:Choice Requires="x14">
            <control shapeId="3148" r:id="rId66" name="Option Button 76">
              <controlPr defaultSize="0" autoFill="0" autoLine="0" autoPict="0">
                <anchor moveWithCells="1">
                  <from>
                    <xdr:col>4</xdr:col>
                    <xdr:colOff>228600</xdr:colOff>
                    <xdr:row>82</xdr:row>
                    <xdr:rowOff>182880</xdr:rowOff>
                  </from>
                  <to>
                    <xdr:col>5</xdr:col>
                    <xdr:colOff>182880</xdr:colOff>
                    <xdr:row>84</xdr:row>
                    <xdr:rowOff>30480</xdr:rowOff>
                  </to>
                </anchor>
              </controlPr>
            </control>
          </mc:Choice>
        </mc:AlternateContent>
        <mc:AlternateContent xmlns:mc="http://schemas.openxmlformats.org/markup-compatibility/2006">
          <mc:Choice Requires="x14">
            <control shapeId="3149" r:id="rId67" name="Option Button 77">
              <controlPr defaultSize="0" autoFill="0" autoLine="0" autoPict="0">
                <anchor moveWithCells="1">
                  <from>
                    <xdr:col>4</xdr:col>
                    <xdr:colOff>228600</xdr:colOff>
                    <xdr:row>84</xdr:row>
                    <xdr:rowOff>68580</xdr:rowOff>
                  </from>
                  <to>
                    <xdr:col>5</xdr:col>
                    <xdr:colOff>792480</xdr:colOff>
                    <xdr:row>85</xdr:row>
                    <xdr:rowOff>144780</xdr:rowOff>
                  </to>
                </anchor>
              </controlPr>
            </control>
          </mc:Choice>
        </mc:AlternateContent>
        <mc:AlternateContent xmlns:mc="http://schemas.openxmlformats.org/markup-compatibility/2006">
          <mc:Choice Requires="x14">
            <control shapeId="3150" r:id="rId68" name="Check Box 78">
              <controlPr defaultSize="0" autoFill="0" autoLine="0" autoPict="0">
                <anchor moveWithCells="1">
                  <from>
                    <xdr:col>2</xdr:col>
                    <xdr:colOff>38100</xdr:colOff>
                    <xdr:row>87</xdr:row>
                    <xdr:rowOff>182880</xdr:rowOff>
                  </from>
                  <to>
                    <xdr:col>3</xdr:col>
                    <xdr:colOff>106680</xdr:colOff>
                    <xdr:row>89</xdr:row>
                    <xdr:rowOff>30480</xdr:rowOff>
                  </to>
                </anchor>
              </controlPr>
            </control>
          </mc:Choice>
        </mc:AlternateContent>
        <mc:AlternateContent xmlns:mc="http://schemas.openxmlformats.org/markup-compatibility/2006">
          <mc:Choice Requires="x14">
            <control shapeId="3151" r:id="rId69" name="Group Box 79">
              <controlPr defaultSize="0" autoFill="0" autoPict="0">
                <anchor moveWithCells="1">
                  <from>
                    <xdr:col>4</xdr:col>
                    <xdr:colOff>0</xdr:colOff>
                    <xdr:row>89</xdr:row>
                    <xdr:rowOff>0</xdr:rowOff>
                  </from>
                  <to>
                    <xdr:col>5</xdr:col>
                    <xdr:colOff>1021080</xdr:colOff>
                    <xdr:row>93</xdr:row>
                    <xdr:rowOff>182880</xdr:rowOff>
                  </to>
                </anchor>
              </controlPr>
            </control>
          </mc:Choice>
        </mc:AlternateContent>
        <mc:AlternateContent xmlns:mc="http://schemas.openxmlformats.org/markup-compatibility/2006">
          <mc:Choice Requires="x14">
            <control shapeId="3152" r:id="rId70" name="Option Button 80">
              <controlPr defaultSize="0" autoFill="0" autoLine="0" autoPict="0">
                <anchor moveWithCells="1">
                  <from>
                    <xdr:col>4</xdr:col>
                    <xdr:colOff>190500</xdr:colOff>
                    <xdr:row>90</xdr:row>
                    <xdr:rowOff>30480</xdr:rowOff>
                  </from>
                  <to>
                    <xdr:col>4</xdr:col>
                    <xdr:colOff>2240280</xdr:colOff>
                    <xdr:row>91</xdr:row>
                    <xdr:rowOff>68580</xdr:rowOff>
                  </to>
                </anchor>
              </controlPr>
            </control>
          </mc:Choice>
        </mc:AlternateContent>
        <mc:AlternateContent xmlns:mc="http://schemas.openxmlformats.org/markup-compatibility/2006">
          <mc:Choice Requires="x14">
            <control shapeId="3153" r:id="rId71" name="Option Button 81">
              <controlPr defaultSize="0" autoFill="0" autoLine="0" autoPict="0">
                <anchor moveWithCells="1">
                  <from>
                    <xdr:col>4</xdr:col>
                    <xdr:colOff>182880</xdr:colOff>
                    <xdr:row>91</xdr:row>
                    <xdr:rowOff>38100</xdr:rowOff>
                  </from>
                  <to>
                    <xdr:col>4</xdr:col>
                    <xdr:colOff>2659380</xdr:colOff>
                    <xdr:row>92</xdr:row>
                    <xdr:rowOff>68580</xdr:rowOff>
                  </to>
                </anchor>
              </controlPr>
            </control>
          </mc:Choice>
        </mc:AlternateContent>
        <mc:AlternateContent xmlns:mc="http://schemas.openxmlformats.org/markup-compatibility/2006">
          <mc:Choice Requires="x14">
            <control shapeId="3154" r:id="rId72" name="Option Button 82">
              <controlPr defaultSize="0" autoFill="0" autoLine="0" autoPict="0">
                <anchor moveWithCells="1">
                  <from>
                    <xdr:col>4</xdr:col>
                    <xdr:colOff>190500</xdr:colOff>
                    <xdr:row>92</xdr:row>
                    <xdr:rowOff>68580</xdr:rowOff>
                  </from>
                  <to>
                    <xdr:col>4</xdr:col>
                    <xdr:colOff>2735580</xdr:colOff>
                    <xdr:row>93</xdr:row>
                    <xdr:rowOff>106680</xdr:rowOff>
                  </to>
                </anchor>
              </controlPr>
            </control>
          </mc:Choice>
        </mc:AlternateContent>
        <mc:AlternateContent xmlns:mc="http://schemas.openxmlformats.org/markup-compatibility/2006">
          <mc:Choice Requires="x14">
            <control shapeId="3155" r:id="rId73" name="Check Box 83">
              <controlPr defaultSize="0" autoFill="0" autoLine="0" autoPict="0">
                <anchor moveWithCells="1">
                  <from>
                    <xdr:col>1</xdr:col>
                    <xdr:colOff>30480</xdr:colOff>
                    <xdr:row>86</xdr:row>
                    <xdr:rowOff>182880</xdr:rowOff>
                  </from>
                  <to>
                    <xdr:col>2</xdr:col>
                    <xdr:colOff>68580</xdr:colOff>
                    <xdr:row>88</xdr:row>
                    <xdr:rowOff>30480</xdr:rowOff>
                  </to>
                </anchor>
              </controlPr>
            </control>
          </mc:Choice>
        </mc:AlternateContent>
        <mc:AlternateContent xmlns:mc="http://schemas.openxmlformats.org/markup-compatibility/2006">
          <mc:Choice Requires="x14">
            <control shapeId="3156" r:id="rId74" name="Check Box 84">
              <controlPr defaultSize="0" autoFill="0" autoLine="0" autoPict="0">
                <anchor moveWithCells="1">
                  <from>
                    <xdr:col>2</xdr:col>
                    <xdr:colOff>30480</xdr:colOff>
                    <xdr:row>93</xdr:row>
                    <xdr:rowOff>182880</xdr:rowOff>
                  </from>
                  <to>
                    <xdr:col>3</xdr:col>
                    <xdr:colOff>76200</xdr:colOff>
                    <xdr:row>95</xdr:row>
                    <xdr:rowOff>0</xdr:rowOff>
                  </to>
                </anchor>
              </controlPr>
            </control>
          </mc:Choice>
        </mc:AlternateContent>
        <mc:AlternateContent xmlns:mc="http://schemas.openxmlformats.org/markup-compatibility/2006">
          <mc:Choice Requires="x14">
            <control shapeId="3157" r:id="rId75" name="Check Box 85">
              <controlPr defaultSize="0" autoFill="0" autoLine="0" autoPict="0">
                <anchor moveWithCells="1">
                  <from>
                    <xdr:col>1</xdr:col>
                    <xdr:colOff>38100</xdr:colOff>
                    <xdr:row>94</xdr:row>
                    <xdr:rowOff>182880</xdr:rowOff>
                  </from>
                  <to>
                    <xdr:col>2</xdr:col>
                    <xdr:colOff>68580</xdr:colOff>
                    <xdr:row>96</xdr:row>
                    <xdr:rowOff>30480</xdr:rowOff>
                  </to>
                </anchor>
              </controlPr>
            </control>
          </mc:Choice>
        </mc:AlternateContent>
        <mc:AlternateContent xmlns:mc="http://schemas.openxmlformats.org/markup-compatibility/2006">
          <mc:Choice Requires="x14">
            <control shapeId="3158" r:id="rId76" name="Group Box 86">
              <controlPr defaultSize="0" autoFill="0" autoPict="0">
                <anchor moveWithCells="1">
                  <from>
                    <xdr:col>4</xdr:col>
                    <xdr:colOff>0</xdr:colOff>
                    <xdr:row>95</xdr:row>
                    <xdr:rowOff>182880</xdr:rowOff>
                  </from>
                  <to>
                    <xdr:col>6</xdr:col>
                    <xdr:colOff>30480</xdr:colOff>
                    <xdr:row>101</xdr:row>
                    <xdr:rowOff>30480</xdr:rowOff>
                  </to>
                </anchor>
              </controlPr>
            </control>
          </mc:Choice>
        </mc:AlternateContent>
        <mc:AlternateContent xmlns:mc="http://schemas.openxmlformats.org/markup-compatibility/2006">
          <mc:Choice Requires="x14">
            <control shapeId="3159" r:id="rId77" name="Option Button 87">
              <controlPr defaultSize="0" autoFill="0" autoLine="0" autoPict="0">
                <anchor moveWithCells="1">
                  <from>
                    <xdr:col>4</xdr:col>
                    <xdr:colOff>220980</xdr:colOff>
                    <xdr:row>96</xdr:row>
                    <xdr:rowOff>182880</xdr:rowOff>
                  </from>
                  <to>
                    <xdr:col>4</xdr:col>
                    <xdr:colOff>2125980</xdr:colOff>
                    <xdr:row>98</xdr:row>
                    <xdr:rowOff>30480</xdr:rowOff>
                  </to>
                </anchor>
              </controlPr>
            </control>
          </mc:Choice>
        </mc:AlternateContent>
        <mc:AlternateContent xmlns:mc="http://schemas.openxmlformats.org/markup-compatibility/2006">
          <mc:Choice Requires="x14">
            <control shapeId="3160" r:id="rId78" name="Option Button 88">
              <controlPr defaultSize="0" autoFill="0" autoLine="0" autoPict="0">
                <anchor moveWithCells="1">
                  <from>
                    <xdr:col>4</xdr:col>
                    <xdr:colOff>220980</xdr:colOff>
                    <xdr:row>98</xdr:row>
                    <xdr:rowOff>38100</xdr:rowOff>
                  </from>
                  <to>
                    <xdr:col>5</xdr:col>
                    <xdr:colOff>68580</xdr:colOff>
                    <xdr:row>99</xdr:row>
                    <xdr:rowOff>68580</xdr:rowOff>
                  </to>
                </anchor>
              </controlPr>
            </control>
          </mc:Choice>
        </mc:AlternateContent>
        <mc:AlternateContent xmlns:mc="http://schemas.openxmlformats.org/markup-compatibility/2006">
          <mc:Choice Requires="x14">
            <control shapeId="3161" r:id="rId79" name="Option Button 89">
              <controlPr defaultSize="0" autoFill="0" autoLine="0" autoPict="0">
                <anchor moveWithCells="1">
                  <from>
                    <xdr:col>4</xdr:col>
                    <xdr:colOff>220980</xdr:colOff>
                    <xdr:row>99</xdr:row>
                    <xdr:rowOff>68580</xdr:rowOff>
                  </from>
                  <to>
                    <xdr:col>5</xdr:col>
                    <xdr:colOff>982980</xdr:colOff>
                    <xdr:row>100</xdr:row>
                    <xdr:rowOff>144780</xdr:rowOff>
                  </to>
                </anchor>
              </controlPr>
            </control>
          </mc:Choice>
        </mc:AlternateContent>
        <mc:AlternateContent xmlns:mc="http://schemas.openxmlformats.org/markup-compatibility/2006">
          <mc:Choice Requires="x14">
            <control shapeId="3162" r:id="rId80" name="Group Box 90">
              <controlPr defaultSize="0" autoFill="0" autoPict="0">
                <anchor moveWithCells="1">
                  <from>
                    <xdr:col>4</xdr:col>
                    <xdr:colOff>0</xdr:colOff>
                    <xdr:row>100</xdr:row>
                    <xdr:rowOff>182880</xdr:rowOff>
                  </from>
                  <to>
                    <xdr:col>6</xdr:col>
                    <xdr:colOff>30480</xdr:colOff>
                    <xdr:row>105</xdr:row>
                    <xdr:rowOff>30480</xdr:rowOff>
                  </to>
                </anchor>
              </controlPr>
            </control>
          </mc:Choice>
        </mc:AlternateContent>
        <mc:AlternateContent xmlns:mc="http://schemas.openxmlformats.org/markup-compatibility/2006">
          <mc:Choice Requires="x14">
            <control shapeId="3163" r:id="rId81" name="Option Button 91">
              <controlPr defaultSize="0" autoFill="0" autoLine="0" autoPict="0">
                <anchor moveWithCells="1">
                  <from>
                    <xdr:col>4</xdr:col>
                    <xdr:colOff>220980</xdr:colOff>
                    <xdr:row>101</xdr:row>
                    <xdr:rowOff>182880</xdr:rowOff>
                  </from>
                  <to>
                    <xdr:col>5</xdr:col>
                    <xdr:colOff>792480</xdr:colOff>
                    <xdr:row>103</xdr:row>
                    <xdr:rowOff>106680</xdr:rowOff>
                  </to>
                </anchor>
              </controlPr>
            </control>
          </mc:Choice>
        </mc:AlternateContent>
        <mc:AlternateContent xmlns:mc="http://schemas.openxmlformats.org/markup-compatibility/2006">
          <mc:Choice Requires="x14">
            <control shapeId="3164" r:id="rId82" name="Option Button 92">
              <controlPr defaultSize="0" autoFill="0" autoLine="0" autoPict="0">
                <anchor moveWithCells="1">
                  <from>
                    <xdr:col>4</xdr:col>
                    <xdr:colOff>220980</xdr:colOff>
                    <xdr:row>103</xdr:row>
                    <xdr:rowOff>76200</xdr:rowOff>
                  </from>
                  <to>
                    <xdr:col>5</xdr:col>
                    <xdr:colOff>868680</xdr:colOff>
                    <xdr:row>104</xdr:row>
                    <xdr:rowOff>144780</xdr:rowOff>
                  </to>
                </anchor>
              </controlPr>
            </control>
          </mc:Choice>
        </mc:AlternateContent>
        <mc:AlternateContent xmlns:mc="http://schemas.openxmlformats.org/markup-compatibility/2006">
          <mc:Choice Requires="x14">
            <control shapeId="3165" r:id="rId83" name="Check Box 93">
              <controlPr defaultSize="0" autoFill="0" autoLine="0" autoPict="0">
                <anchor moveWithCells="1">
                  <from>
                    <xdr:col>1</xdr:col>
                    <xdr:colOff>266700</xdr:colOff>
                    <xdr:row>3</xdr:row>
                    <xdr:rowOff>0</xdr:rowOff>
                  </from>
                  <to>
                    <xdr:col>3</xdr:col>
                    <xdr:colOff>38100</xdr:colOff>
                    <xdr:row>4</xdr:row>
                    <xdr:rowOff>30480</xdr:rowOff>
                  </to>
                </anchor>
              </controlPr>
            </control>
          </mc:Choice>
        </mc:AlternateContent>
        <mc:AlternateContent xmlns:mc="http://schemas.openxmlformats.org/markup-compatibility/2006">
          <mc:Choice Requires="x14">
            <control shapeId="3166" r:id="rId84" name="Check Box 94">
              <controlPr defaultSize="0" autoFill="0" autoLine="0" autoPict="0">
                <anchor moveWithCells="1">
                  <from>
                    <xdr:col>1</xdr:col>
                    <xdr:colOff>38100</xdr:colOff>
                    <xdr:row>37</xdr:row>
                    <xdr:rowOff>182880</xdr:rowOff>
                  </from>
                  <to>
                    <xdr:col>2</xdr:col>
                    <xdr:colOff>68580</xdr:colOff>
                    <xdr:row>39</xdr:row>
                    <xdr:rowOff>30480</xdr:rowOff>
                  </to>
                </anchor>
              </controlPr>
            </control>
          </mc:Choice>
        </mc:AlternateContent>
        <mc:AlternateContent xmlns:mc="http://schemas.openxmlformats.org/markup-compatibility/2006">
          <mc:Choice Requires="x14">
            <control shapeId="3167" r:id="rId85" name="Check Box 95">
              <controlPr defaultSize="0" autoFill="0" autoLine="0" autoPict="0">
                <anchor moveWithCells="1">
                  <from>
                    <xdr:col>1</xdr:col>
                    <xdr:colOff>30480</xdr:colOff>
                    <xdr:row>46</xdr:row>
                    <xdr:rowOff>0</xdr:rowOff>
                  </from>
                  <to>
                    <xdr:col>2</xdr:col>
                    <xdr:colOff>68580</xdr:colOff>
                    <xdr:row>47</xdr:row>
                    <xdr:rowOff>30480</xdr:rowOff>
                  </to>
                </anchor>
              </controlPr>
            </control>
          </mc:Choice>
        </mc:AlternateContent>
        <mc:AlternateContent xmlns:mc="http://schemas.openxmlformats.org/markup-compatibility/2006">
          <mc:Choice Requires="x14">
            <control shapeId="3168" r:id="rId86" name="Check Box 96">
              <controlPr defaultSize="0" autoFill="0" autoLine="0" autoPict="0">
                <anchor moveWithCells="1">
                  <from>
                    <xdr:col>1</xdr:col>
                    <xdr:colOff>38100</xdr:colOff>
                    <xdr:row>70</xdr:row>
                    <xdr:rowOff>0</xdr:rowOff>
                  </from>
                  <to>
                    <xdr:col>2</xdr:col>
                    <xdr:colOff>68580</xdr:colOff>
                    <xdr:row>71</xdr:row>
                    <xdr:rowOff>30480</xdr:rowOff>
                  </to>
                </anchor>
              </controlPr>
            </control>
          </mc:Choice>
        </mc:AlternateContent>
        <mc:AlternateContent xmlns:mc="http://schemas.openxmlformats.org/markup-compatibility/2006">
          <mc:Choice Requires="x14">
            <control shapeId="3169" r:id="rId87" name="Group Box 97">
              <controlPr defaultSize="0" autoFill="0" autoPict="0">
                <anchor moveWithCells="1">
                  <from>
                    <xdr:col>4</xdr:col>
                    <xdr:colOff>0</xdr:colOff>
                    <xdr:row>32</xdr:row>
                    <xdr:rowOff>182880</xdr:rowOff>
                  </from>
                  <to>
                    <xdr:col>6</xdr:col>
                    <xdr:colOff>30480</xdr:colOff>
                    <xdr:row>38</xdr:row>
                    <xdr:rowOff>30480</xdr:rowOff>
                  </to>
                </anchor>
              </controlPr>
            </control>
          </mc:Choice>
        </mc:AlternateContent>
        <mc:AlternateContent xmlns:mc="http://schemas.openxmlformats.org/markup-compatibility/2006">
          <mc:Choice Requires="x14">
            <control shapeId="3170" r:id="rId88" name="Option Button 98">
              <controlPr defaultSize="0" autoFill="0" autoLine="0" autoPict="0">
                <anchor moveWithCells="1">
                  <from>
                    <xdr:col>4</xdr:col>
                    <xdr:colOff>220980</xdr:colOff>
                    <xdr:row>34</xdr:row>
                    <xdr:rowOff>106680</xdr:rowOff>
                  </from>
                  <to>
                    <xdr:col>4</xdr:col>
                    <xdr:colOff>2468880</xdr:colOff>
                    <xdr:row>35</xdr:row>
                    <xdr:rowOff>114300</xdr:rowOff>
                  </to>
                </anchor>
              </controlPr>
            </control>
          </mc:Choice>
        </mc:AlternateContent>
        <mc:AlternateContent xmlns:mc="http://schemas.openxmlformats.org/markup-compatibility/2006">
          <mc:Choice Requires="x14">
            <control shapeId="3171" r:id="rId89" name="Option Button 99">
              <controlPr defaultSize="0" autoFill="0" autoLine="0" autoPict="0">
                <anchor moveWithCells="1">
                  <from>
                    <xdr:col>4</xdr:col>
                    <xdr:colOff>220980</xdr:colOff>
                    <xdr:row>36</xdr:row>
                    <xdr:rowOff>30480</xdr:rowOff>
                  </from>
                  <to>
                    <xdr:col>4</xdr:col>
                    <xdr:colOff>2735580</xdr:colOff>
                    <xdr:row>37</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58256-C151-414C-85CD-9F5B584F07C1}">
  <sheetPr codeName="Hoja3"/>
  <dimension ref="B5:AZ52"/>
  <sheetViews>
    <sheetView tabSelected="1" view="pageLayout" topLeftCell="AS1" zoomScale="90" zoomScaleNormal="100" zoomScalePageLayoutView="90" workbookViewId="0">
      <selection activeCell="AU42" sqref="AU42"/>
    </sheetView>
  </sheetViews>
  <sheetFormatPr defaultColWidth="11.5546875" defaultRowHeight="14.4"/>
  <cols>
    <col min="1" max="1" width="4.5546875" customWidth="1"/>
    <col min="2" max="2" width="4.44140625" style="3" customWidth="1"/>
    <col min="3" max="3" width="26.44140625" customWidth="1"/>
    <col min="4" max="4" width="41.44140625" customWidth="1"/>
    <col min="5" max="5" width="8" customWidth="1"/>
    <col min="6" max="6" width="4.5546875" customWidth="1"/>
    <col min="7" max="7" width="28.44140625" customWidth="1"/>
    <col min="8" max="8" width="39.44140625" customWidth="1"/>
    <col min="9" max="9" width="11.5546875" customWidth="1"/>
    <col min="11" max="11" width="24.5546875" customWidth="1"/>
    <col min="12" max="12" width="31.44140625" customWidth="1"/>
    <col min="13" max="13" width="14.44140625" customWidth="1"/>
    <col min="14" max="14" width="7.44140625" customWidth="1"/>
    <col min="15" max="16" width="31.44140625" customWidth="1"/>
    <col min="17" max="17" width="11.44140625" customWidth="1"/>
    <col min="18" max="18" width="8.44140625" customWidth="1"/>
    <col min="19" max="19" width="32.44140625" customWidth="1"/>
    <col min="20" max="20" width="32.5546875" customWidth="1"/>
    <col min="22" max="22" width="12.44140625" customWidth="1"/>
    <col min="23" max="23" width="29.5546875" customWidth="1"/>
    <col min="24" max="24" width="28.44140625" customWidth="1"/>
    <col min="25" max="25" width="14" customWidth="1"/>
    <col min="26" max="26" width="8.5546875" customWidth="1"/>
    <col min="27" max="27" width="28.5546875" customWidth="1"/>
    <col min="28" max="28" width="34.44140625" customWidth="1"/>
    <col min="30" max="30" width="7.5546875" customWidth="1"/>
    <col min="31" max="31" width="32.44140625" customWidth="1"/>
    <col min="32" max="32" width="27.44140625" customWidth="1"/>
    <col min="34" max="34" width="8.5546875" customWidth="1"/>
    <col min="35" max="35" width="28.44140625" customWidth="1"/>
    <col min="36" max="36" width="35.44140625" customWidth="1"/>
    <col min="39" max="39" width="34.44140625" customWidth="1"/>
    <col min="40" max="40" width="23.44140625" customWidth="1"/>
    <col min="42" max="42" width="7.5546875" customWidth="1"/>
    <col min="43" max="43" width="32.44140625" customWidth="1"/>
    <col min="44" max="44" width="30.5546875" customWidth="1"/>
    <col min="46" max="46" width="8" customWidth="1"/>
    <col min="47" max="47" width="33.5546875" customWidth="1"/>
    <col min="48" max="48" width="22.5546875" customWidth="1"/>
    <col min="49" max="49" width="13.5546875" customWidth="1"/>
    <col min="50" max="50" width="10" customWidth="1"/>
    <col min="51" max="51" width="35.5546875" customWidth="1"/>
    <col min="52" max="52" width="29.5546875" customWidth="1"/>
  </cols>
  <sheetData>
    <row r="5" spans="2:52" ht="15" thickBot="1"/>
    <row r="6" spans="2:52" ht="37.5" customHeight="1">
      <c r="B6" s="826" t="s">
        <v>41</v>
      </c>
      <c r="C6" s="827"/>
      <c r="D6" s="828"/>
      <c r="F6" s="826" t="s">
        <v>42</v>
      </c>
      <c r="G6" s="827"/>
      <c r="H6" s="828"/>
      <c r="AH6" s="823" t="str">
        <f>Índice!C55</f>
        <v>10. Resistencia del aislamiento y fuerza eléctrica</v>
      </c>
      <c r="AI6" s="824"/>
      <c r="AJ6" s="825"/>
      <c r="AT6" s="820" t="s">
        <v>92</v>
      </c>
      <c r="AU6" s="821"/>
      <c r="AV6" s="822"/>
    </row>
    <row r="7" spans="2:52">
      <c r="B7" s="4"/>
      <c r="D7" s="5"/>
    </row>
    <row r="8" spans="2:52" ht="15" customHeight="1">
      <c r="B8" s="4"/>
      <c r="C8" s="3" t="str" cm="1">
        <f t="array" ref="C8">IF('Toma de notas 60598'!F45&lt;&gt;0,'BBDD Equipos 60598'!C6:D9,"NO ENSAYADO")</f>
        <v>NO ENSAYADO</v>
      </c>
      <c r="D8" s="5"/>
      <c r="G8" s="12" t="s">
        <v>40</v>
      </c>
      <c r="K8" s="819" t="str">
        <f>Índice!D20</f>
        <v>4.10. Aislamiento doble o reforzado</v>
      </c>
      <c r="L8" s="819"/>
      <c r="O8" s="819" t="str">
        <f>Índice!D24</f>
        <v>4.18. Resistencia a la corrosión</v>
      </c>
      <c r="P8" s="819"/>
      <c r="S8" s="819" t="str">
        <f>Índice!C33</f>
        <v>7. Continuidad circuito tierra</v>
      </c>
      <c r="T8" s="819"/>
      <c r="W8" s="819" t="str">
        <f>Índice!D40</f>
        <v>9.3. Ensayos de IP y humedad</v>
      </c>
      <c r="X8" s="819"/>
      <c r="AA8" s="819" t="str">
        <f>Índice!D48</f>
        <v>5.2 Cableado interno</v>
      </c>
      <c r="AB8" s="819"/>
      <c r="AE8" s="819" t="str">
        <f>Índice!C49</f>
        <v>8. Protección contra coche eléctrico</v>
      </c>
      <c r="AF8" s="819"/>
      <c r="AI8" s="819" t="str">
        <f>Índice!D56</f>
        <v>10.2.1. Resistencia de aislamiento</v>
      </c>
      <c r="AJ8" s="819"/>
      <c r="AM8" s="2" t="str">
        <f>Índice!D72</f>
        <v>11.2. Líneas de fuga y distancias en el aire</v>
      </c>
      <c r="AQ8" s="2" t="str">
        <f>Índice!C73</f>
        <v>12. Endurancia/Calentamientos</v>
      </c>
    </row>
    <row r="9" spans="2:52">
      <c r="B9" s="4"/>
      <c r="D9" s="5"/>
      <c r="G9" t="str" cm="1">
        <f t="array" ref="G9:H15">IF(Índice!F6=TRUE,'BBDD Equipos 60598'!G6:H12,"NO ENSAYADO")</f>
        <v>EQ-SAFE-213</v>
      </c>
      <c r="H9" t="str">
        <v>Dinamómetro</v>
      </c>
      <c r="K9" t="str" cm="1">
        <f t="array" ref="K9:L14">IF(Índice!F20=TRUE,'BBDD Equipos 60598'!G46:H51,"NO ENSAYADO")</f>
        <v>EQ-SAFE-601</v>
      </c>
      <c r="L9" t="str">
        <v>Indicador de contacto eléctr.</v>
      </c>
      <c r="N9" s="13" t="str">
        <f>IF('Datos ensayos LUM.'!C190&lt;&gt;2,"X","")</f>
        <v>X</v>
      </c>
      <c r="O9" t="str" cm="1">
        <f t="array" ref="O9:P16">IF(Índice!F24=TRUE,'BBDD Equipos 60598'!G81:H88,"NO ENSAYADO")</f>
        <v>EQ-SAFE-305</v>
      </c>
      <c r="P9" t="str">
        <v>Estufa</v>
      </c>
      <c r="R9" s="13" t="str">
        <f>IF('Datos ensayos LUM.'!T28=TRUE,"X","")</f>
        <v>X</v>
      </c>
      <c r="S9" t="str" cm="1">
        <f t="array" ref="S9:T14">IF(Índice!F33=TRUE,'BBDD Equipos 60598'!O6:P11,"NO ENSAYADO")</f>
        <v>EQ-SAFE-442</v>
      </c>
      <c r="T9" t="str">
        <v>Medidor de continuidad de tierra (ELABO)</v>
      </c>
      <c r="V9" s="232" t="str">
        <f>IF('Datos ensayos LUM.'!AR47=TRUE,"X","")</f>
        <v/>
      </c>
      <c r="W9" t="str" cm="1">
        <f t="array" ref="W9:X40">IF(Índice!F40=TRUE,'BBDD Equipos 60598'!AE6:AF37,"NO ENSAYADO")</f>
        <v>EQ-SAFE-174 + EQ-SAFE-210</v>
      </c>
      <c r="X9" t="str">
        <v>Arco de lluvia + Caudalímetro</v>
      </c>
      <c r="AA9" t="str" cm="1">
        <f t="array" ref="AA9:AB12">IF(Índice!F48=TRUE,'BBDD Equipos 60598'!S6:T9,"NO ENSAYADO")</f>
        <v>EQ-SAFE-213</v>
      </c>
      <c r="AB9" t="str">
        <v>Dinamómetro</v>
      </c>
      <c r="AE9" t="str" cm="1">
        <f t="array" ref="AE9:AF21">IF(Índice!F49=TRUE,'BBDD Equipos 60598'!W6:X18,"NO ENSAYADO")</f>
        <v>EQ-SAFE-122</v>
      </c>
      <c r="AF9" t="str">
        <v>Dedo de prueba normalizado</v>
      </c>
      <c r="AH9" s="15" t="str">
        <f>IF('Datos ensayos LUM.'!BE26=TRUE,"X","")</f>
        <v/>
      </c>
      <c r="AI9" t="str" cm="1">
        <f t="array" ref="AI9:AJ14">IF(Índice!F56=TRUE,'BBDD Equipos 60598'!AI6:AJ11,"NO ENSAYADO")</f>
        <v>EQ-SAFE-403</v>
      </c>
      <c r="AJ9" t="str">
        <v>Medidor resistencia de aislamiento (GW INSTEK)</v>
      </c>
      <c r="AM9" t="str" cm="1">
        <f t="array" ref="AM9:AN19">IF(Índice!F72=TRUE,'BBDD Equipos 60598'!K6:L16,"NO ENSAYADO")</f>
        <v>EQ-SAFE-207</v>
      </c>
      <c r="AN9" t="str">
        <v>Micrómetro</v>
      </c>
      <c r="AP9" s="14" t="str">
        <f>IF('Datos ensayos LUM.'!AJ23=TRUE,"X","")</f>
        <v/>
      </c>
      <c r="AQ9" t="str" cm="1">
        <f t="array" ref="AQ9:AR21">IF(Índice!F73=TRUE,'BBDD Equipos 60598'!AA6:AB18,"NO ENSAYADO")</f>
        <v>EQ-SAFE-301</v>
      </c>
      <c r="AR9" t="str">
        <v>Cámara panelable</v>
      </c>
      <c r="AU9" s="2" t="str">
        <f>Índice!D89</f>
        <v>13.2. Resistencia al calor</v>
      </c>
      <c r="AY9" s="2" t="str">
        <f>Índice!C96</f>
        <v>Anexo A (Partes activas)</v>
      </c>
    </row>
    <row r="10" spans="2:52" ht="15.75" customHeight="1">
      <c r="B10" s="4"/>
      <c r="D10" s="5"/>
      <c r="G10" t="str">
        <v>EQ-SAFE-216</v>
      </c>
      <c r="H10" t="str">
        <v>Llave dinamométrica</v>
      </c>
      <c r="K10" t="str">
        <v>EQ-SAFE-113</v>
      </c>
      <c r="L10" t="str">
        <v>Punzón cónico</v>
      </c>
      <c r="N10" s="13" t="str">
        <f>IF('Datos ensayos LUM.'!C190=2,"X","")</f>
        <v/>
      </c>
      <c r="O10" t="str">
        <v>EQ-SAFE-330</v>
      </c>
      <c r="P10" t="str">
        <v>Cámara climática</v>
      </c>
      <c r="R10" s="13" t="str">
        <f>IF('Datos ensayos LUM.'!T29=TRUE,"X","")</f>
        <v/>
      </c>
      <c r="S10" t="str">
        <v>EQ-SAFE-403</v>
      </c>
      <c r="T10" t="str">
        <v>Medidor de continuidad de tierra (GW INSTEK.)</v>
      </c>
      <c r="V10" s="232" t="str">
        <f>IF('Datos ensayos LUM.'!AR48=TRUE,"X","")</f>
        <v/>
      </c>
      <c r="W10" t="str">
        <v>EQ-SAFE-105</v>
      </c>
      <c r="X10" t="str">
        <v>Boquillas</v>
      </c>
      <c r="AA10" t="str">
        <v>EQ-SAFE-235
EQ-SAFE-236</v>
      </c>
      <c r="AB10" t="str">
        <v>Llave dinamométrica hasta 4 N.m
Llave dinamométrica entre 4 N.m y 40N.m</v>
      </c>
      <c r="AE10" t="str">
        <v>EQ-SAFE-107</v>
      </c>
      <c r="AF10" t="str">
        <v>Sonda 50mm diámetro</v>
      </c>
      <c r="AH10" s="15" t="str">
        <f>IF('Datos ensayos LUM.'!BE28=TRUE,"X","")</f>
        <v/>
      </c>
      <c r="AI10" t="str">
        <v>EQ-SAFE-403</v>
      </c>
      <c r="AJ10" t="str">
        <v>Medidor resistencia de aislamiento (GW INSTEK)</v>
      </c>
      <c r="AM10" t="str">
        <v>EQ-SAFE-206</v>
      </c>
      <c r="AN10" t="str">
        <v>Pie de rey</v>
      </c>
      <c r="AP10" s="14" t="str">
        <f>IF('Datos ensayos LUM.'!AJ24=TRUE,"X","")</f>
        <v/>
      </c>
      <c r="AQ10" t="str">
        <v>EQ-SAFE-302</v>
      </c>
      <c r="AR10" t="str">
        <v>Cámara panelable</v>
      </c>
      <c r="AU10" t="str" cm="1">
        <f t="array" ref="AU10:AV22">IF(Índice!F89=TRUE,'BBDD Equipos 60598'!AM6:AN18,"NO ENSAYADO")</f>
        <v>EQ-SAFE-305</v>
      </c>
      <c r="AV10" t="str">
        <v>Estufa</v>
      </c>
      <c r="AX10" s="8" t="str">
        <f>IF(Índice!$G$99=1,"X","")</f>
        <v/>
      </c>
      <c r="AY10" t="str" cm="1">
        <f t="array" ref="AY10:AZ20">IF(Índice!F96=TRUE,'BBDD Equipos 60598'!AU6:AV16,"NO ENSAYADO")</f>
        <v>EQ-SAFE-417</v>
      </c>
      <c r="AZ10" t="str">
        <v>Multimetro UNI-T</v>
      </c>
    </row>
    <row r="11" spans="2:52">
      <c r="B11" s="4"/>
      <c r="D11" s="5"/>
      <c r="G11" t="str">
        <v>EQ-SAFE-206</v>
      </c>
      <c r="H11" t="str">
        <v>Pie de rey</v>
      </c>
      <c r="K11" t="str">
        <v>EQ-SAFE-311; EQ-SAFE-312; EQ-SAFE-313</v>
      </c>
      <c r="L11" t="str">
        <v>Termohigrómetros</v>
      </c>
      <c r="O11" t="str">
        <v>RC-SAFE-001</v>
      </c>
      <c r="P11" t="str">
        <v>Cloruro de amonio</v>
      </c>
      <c r="S11" t="str">
        <v>EQ-SAFE-311; EQ-SAFE-312; EQ-SAFE-313</v>
      </c>
      <c r="T11" t="str">
        <v>Termohigrómetros</v>
      </c>
      <c r="V11" s="232" t="str">
        <f>IF('Datos ensayos LUM.'!AR46=TRUE,"X","")</f>
        <v/>
      </c>
      <c r="W11" t="str">
        <v>EQ-SAFE-111</v>
      </c>
      <c r="X11" t="str">
        <v>Cabeza de regadera (si R necesario &gt; 120cm)</v>
      </c>
      <c r="AA11" t="str">
        <v>EQ-SAFE-311; EQ-SAFE-312; EQ-SAFE-313</v>
      </c>
      <c r="AB11" t="str">
        <v>Termohigrómetros</v>
      </c>
      <c r="AD11" s="8" t="str">
        <f>IF('Datos ensayos LUM.'!AB49=TRUE,"X","")</f>
        <v/>
      </c>
      <c r="AE11" t="str">
        <v>EQ-SAFE-437</v>
      </c>
      <c r="AF11" t="str">
        <v>Multimetro UNI-T</v>
      </c>
      <c r="AI11" t="str">
        <v>EQ-SAFE-311; 
EQ-SAFE-312; 
EQ-SAFE-313</v>
      </c>
      <c r="AJ11" t="str">
        <v>Termohigrómetros</v>
      </c>
      <c r="AM11" t="str">
        <v>EQ-SAFE-212</v>
      </c>
      <c r="AN11" t="str">
        <v>Flexómetro</v>
      </c>
      <c r="AP11" s="14" t="str">
        <f>IF('Datos ensayos LUM.'!AJ25=TRUE,"X","")</f>
        <v/>
      </c>
      <c r="AQ11" t="str">
        <v>EQ-SAFE-328</v>
      </c>
      <c r="AR11" t="str">
        <v>Estufa endurancias DYCOMETAL</v>
      </c>
      <c r="AT11" s="8" t="str">
        <f>IF(Índice!$G$91=1,"X","")</f>
        <v/>
      </c>
      <c r="AU11" t="str">
        <v>EQ-SAFE-328</v>
      </c>
      <c r="AV11" t="str">
        <v>Registrador</v>
      </c>
      <c r="AX11" s="8" t="str">
        <f>IF(Índice!$G$99=2,"X","")</f>
        <v/>
      </c>
      <c r="AY11" t="str">
        <v>EQ-SAFE-428</v>
      </c>
      <c r="AZ11" t="str">
        <v>Multímetro Fluke</v>
      </c>
    </row>
    <row r="12" spans="2:52">
      <c r="B12" s="4"/>
      <c r="D12" s="5"/>
      <c r="G12" t="str">
        <v>EQ-SAFE-207</v>
      </c>
      <c r="H12" t="str">
        <v>Micrómetro digital</v>
      </c>
      <c r="K12" t="str">
        <v>Otros:</v>
      </c>
      <c r="L12">
        <v>0</v>
      </c>
      <c r="O12" t="str">
        <v>EQ-SAFE-311; EQ-SAFE-312; EQ-SAFE-313</v>
      </c>
      <c r="P12" t="str">
        <v>Termohigrómetros</v>
      </c>
      <c r="S12" t="str">
        <v>Otros:</v>
      </c>
      <c r="T12">
        <v>0</v>
      </c>
      <c r="V12" s="232" t="str">
        <f>IF('Datos ensayos LUM.'!AR49=TRUE,"X","")</f>
        <v/>
      </c>
      <c r="W12" t="str">
        <v>EQ-SAFE-608</v>
      </c>
      <c r="X12" t="str">
        <v>Depósitos de inmersión</v>
      </c>
      <c r="AA12" t="str">
        <v>EQ-SAFE-606</v>
      </c>
      <c r="AB12" t="str">
        <v>Zumbador Fig. 34 IEC 60598-1:2020</v>
      </c>
      <c r="AD12" s="8" t="str">
        <f>IF('Datos ensayos LUM.'!AB50=TRUE,"X","")</f>
        <v/>
      </c>
      <c r="AE12" t="str">
        <v>EQ-SAFE-428</v>
      </c>
      <c r="AF12" t="str">
        <v>Multímetro Fluke</v>
      </c>
      <c r="AI12" t="str">
        <v>Otros:</v>
      </c>
      <c r="AJ12">
        <v>0</v>
      </c>
      <c r="AM12" t="str">
        <v>EQ-SAFE-605</v>
      </c>
      <c r="AN12" t="str">
        <v>Lámina cinta 0,1-2,00mm</v>
      </c>
      <c r="AP12" s="8" t="str">
        <f>IF('Datos ensayos LUM.'!AJ32=TRUE,"X","")</f>
        <v/>
      </c>
      <c r="AQ12" t="str">
        <v>EQ-SAFE-303</v>
      </c>
      <c r="AR12" t="str">
        <v>Cámara climática (3)</v>
      </c>
      <c r="AT12" s="8"/>
      <c r="AU12" t="str">
        <v>EQ-SAFE-323</v>
      </c>
      <c r="AV12" t="str">
        <v>Registrador 20 canales Graphtec</v>
      </c>
      <c r="AX12" s="8" t="str">
        <f>IF(Índice!$G$99=3,"X","")</f>
        <v>X</v>
      </c>
      <c r="AY12" t="str">
        <v>EQ-SAFE-430</v>
      </c>
      <c r="AZ12" t="str">
        <v>Multímetro/Pinza UNI-T</v>
      </c>
    </row>
    <row r="13" spans="2:52">
      <c r="B13" s="4"/>
      <c r="D13" s="5"/>
      <c r="G13" t="str">
        <v>EQ-SAFE-311; EQ-SAFE-312; EQ-SAFE-313</v>
      </c>
      <c r="H13" t="str">
        <v>Termohigrómetros</v>
      </c>
      <c r="K13">
        <v>0</v>
      </c>
      <c r="L13">
        <v>0</v>
      </c>
      <c r="O13" t="str">
        <v>EQ-SAFE-407</v>
      </c>
      <c r="P13" t="str">
        <v>Cronómetro digital</v>
      </c>
      <c r="S13">
        <v>0</v>
      </c>
      <c r="T13">
        <v>0</v>
      </c>
      <c r="V13" s="232" t="str">
        <f>IF('Datos ensayos LUM.'!AR45=TRUE,"X","")</f>
        <v/>
      </c>
      <c r="W13" t="str">
        <v>EQ-SAFE-615</v>
      </c>
      <c r="X13" t="str">
        <v>Caja de goteo</v>
      </c>
      <c r="AD13" s="8" t="str">
        <f>IF('Datos ensayos LUM.'!AB51=TRUE,"X","")</f>
        <v/>
      </c>
      <c r="AE13" t="str">
        <v>EQ-SAFE-430</v>
      </c>
      <c r="AF13" t="str">
        <v>Multímetro/Pinza UNI-T</v>
      </c>
      <c r="AI13">
        <v>0</v>
      </c>
      <c r="AJ13">
        <v>0</v>
      </c>
      <c r="AM13" t="str">
        <v>EQ-SAFE-167</v>
      </c>
      <c r="AN13" t="str">
        <v>Juego de galgas</v>
      </c>
      <c r="AP13" s="8" t="str">
        <f>IF('Datos ensayos LUM.'!AJ33=TRUE,"X","")</f>
        <v/>
      </c>
      <c r="AQ13" t="str">
        <v>EQ-SAFE-327</v>
      </c>
      <c r="AR13" t="str">
        <v>Medidor temperatura 40 canales</v>
      </c>
      <c r="AT13" s="8" t="str">
        <f>IF(Índice!$G$91=3,"X","")</f>
        <v/>
      </c>
      <c r="AU13" t="str">
        <v>EQ-SAFE-324</v>
      </c>
      <c r="AV13" t="str">
        <v>Registrador 20 canales Graphtec (Maletín)</v>
      </c>
      <c r="AX13" s="14" t="str">
        <f>IF(Índice!$G$102=1,"X","")</f>
        <v/>
      </c>
      <c r="AY13" t="str">
        <v>EQ-SAFE-441</v>
      </c>
      <c r="AZ13" t="str">
        <v>Corrientes de fuga (contacto). AINUO</v>
      </c>
    </row>
    <row r="14" spans="2:52">
      <c r="B14" s="4"/>
      <c r="D14" s="5"/>
      <c r="G14" t="str">
        <v>EQ-SAFE-407</v>
      </c>
      <c r="H14" t="str">
        <v>Cronómetro digital</v>
      </c>
      <c r="K14">
        <v>0</v>
      </c>
      <c r="L14">
        <v>0</v>
      </c>
      <c r="O14" t="str">
        <v>Otros:</v>
      </c>
      <c r="P14">
        <v>0</v>
      </c>
      <c r="S14">
        <v>0</v>
      </c>
      <c r="T14">
        <v>0</v>
      </c>
      <c r="V14" s="232" t="str">
        <f>IF('Datos ensayos LUM.'!AR50=TRUE,"X","")</f>
        <v/>
      </c>
      <c r="W14" t="str">
        <v>EQ-SAFE-232</v>
      </c>
      <c r="X14" t="str">
        <v>Boquillas de Tobera + Pulverizador +  Bomba de presión</v>
      </c>
      <c r="AE14" t="str">
        <v>EQ-SAFE-409; EQ-SAFE-121</v>
      </c>
      <c r="AF14" t="str">
        <v>Osciloscopio FLUKE</v>
      </c>
      <c r="AI14">
        <v>0</v>
      </c>
      <c r="AJ14">
        <v>0</v>
      </c>
      <c r="AM14" t="str">
        <v>EQ-SAFE-409; EQ-SAFE-121</v>
      </c>
      <c r="AN14" t="str">
        <v>Osciloscopio</v>
      </c>
      <c r="AP14" s="8" t="str">
        <f>IF('Datos ensayos LUM.'!AJ34=TRUE,"X","")</f>
        <v/>
      </c>
      <c r="AQ14" t="str">
        <v>EQ-SAFE-328</v>
      </c>
      <c r="AR14" t="str">
        <v>Medidor temperatura 32 canales</v>
      </c>
      <c r="AT14" s="8" t="str">
        <f>IF(Índice!$G$91=2,"X","")</f>
        <v>X</v>
      </c>
      <c r="AU14" t="str">
        <v>EQ-SAFE-318</v>
      </c>
      <c r="AV14" t="str">
        <v>Comprobador termopares 2 canales</v>
      </c>
      <c r="AX14" s="14" t="str">
        <f>IF(Índice!$G$102=2,"X","")</f>
        <v>X</v>
      </c>
      <c r="AY14" t="str">
        <v>EQ-SAFE-404</v>
      </c>
      <c r="AZ14" t="str">
        <v>Corrientes de fuga lum. GW INSTEK GLC-1000</v>
      </c>
    </row>
    <row r="15" spans="2:52">
      <c r="B15" s="4"/>
      <c r="D15" s="5"/>
      <c r="G15" t="str">
        <v>Otros:</v>
      </c>
      <c r="H15">
        <v>0</v>
      </c>
      <c r="O15">
        <v>0</v>
      </c>
      <c r="P15">
        <v>0</v>
      </c>
      <c r="W15" t="str">
        <v>EQ-SAFE-211</v>
      </c>
      <c r="X15" t="str">
        <v>Caudalímetro</v>
      </c>
      <c r="AE15" t="str">
        <v>EQ-SAFE-106</v>
      </c>
      <c r="AF15" t="str">
        <v>Dedo de prueba articulado</v>
      </c>
      <c r="AM15" t="str">
        <v>EQ-SAFE-440</v>
      </c>
      <c r="AN15" t="str">
        <v>Vatímetro GW-INSTEK</v>
      </c>
      <c r="AP15" s="8" t="str">
        <f>IF('Datos ensayos LUM.'!AJ35=TRUE,"X","")</f>
        <v/>
      </c>
      <c r="AQ15" t="str">
        <v>EQ-SAFE-323</v>
      </c>
      <c r="AR15" t="str">
        <v>Registrador 20+20 canales Graphtec</v>
      </c>
      <c r="AU15" t="str">
        <v>EQ-SAFE-104</v>
      </c>
      <c r="AV15" t="str">
        <v>Presión con bola</v>
      </c>
      <c r="AY15" t="str">
        <v>EQ-SAFE-409; EQ-SAFE-121</v>
      </c>
      <c r="AZ15" t="str">
        <v>Osciloscopio</v>
      </c>
    </row>
    <row r="16" spans="2:52">
      <c r="B16" s="4"/>
      <c r="D16" s="5"/>
      <c r="O16">
        <v>0</v>
      </c>
      <c r="P16">
        <v>0</v>
      </c>
      <c r="W16" t="str">
        <v>EQ-SAFE-106</v>
      </c>
      <c r="X16" t="str">
        <v>Dedo de prueba articulado</v>
      </c>
      <c r="AE16" t="str">
        <v>EQ-SAFE-213</v>
      </c>
      <c r="AF16" t="str">
        <v>Dinamómetro</v>
      </c>
      <c r="AM16" t="str">
        <v>EQ-SAFE-417</v>
      </c>
      <c r="AN16" t="str">
        <v>Multímetro digital</v>
      </c>
      <c r="AQ16" t="str">
        <v>EQ-SAFE-324</v>
      </c>
      <c r="AR16" t="str">
        <v>Registrador 20+20 canales Graphtec</v>
      </c>
      <c r="AU16" t="str">
        <v>EQ-SAFE-604</v>
      </c>
      <c r="AV16" t="str">
        <v>Microscopio</v>
      </c>
      <c r="AY16" t="str">
        <v>EQ-SAFE-608</v>
      </c>
      <c r="AZ16" t="str">
        <v>Resistencia para partes activas</v>
      </c>
    </row>
    <row r="17" spans="2:52">
      <c r="B17" s="4"/>
      <c r="D17" s="5"/>
      <c r="K17" s="819" t="str">
        <f>Índice!D21</f>
        <v>4.12. Tornillos y conexiones mecánicas y prensaestopas</v>
      </c>
      <c r="L17" s="819"/>
      <c r="W17" t="str">
        <v>EQ-SAFE-206</v>
      </c>
      <c r="X17" t="str">
        <v>Pie de rey</v>
      </c>
      <c r="AE17" t="str">
        <v>EQ-SAFE-221</v>
      </c>
      <c r="AF17" t="str">
        <v>Dinamómetro</v>
      </c>
      <c r="AM17" t="str">
        <v>EQ-SAFE-311; EQ-SAFE-312; EQ-SAFE-313</v>
      </c>
      <c r="AN17" t="str">
        <v>Termohigrómetros</v>
      </c>
      <c r="AQ17" t="str">
        <v>EQ-SAFE-001</v>
      </c>
      <c r="AR17" t="str">
        <v>Estabilizador de tensión</v>
      </c>
      <c r="AU17" t="str">
        <v>EQ-SAFE-121</v>
      </c>
      <c r="AV17" t="str">
        <v>Regla graduada</v>
      </c>
      <c r="AY17" t="str">
        <v>EQ-SAFE-311; EQ-SAFE-312; EQ-SAFE-313</v>
      </c>
      <c r="AZ17" t="str">
        <v>Termohigrómetros</v>
      </c>
    </row>
    <row r="18" spans="2:52">
      <c r="B18" s="4"/>
      <c r="D18" s="5"/>
      <c r="G18" s="2" t="s">
        <v>9</v>
      </c>
      <c r="K18" t="str" cm="1">
        <f t="array" ref="K18:L29">IF(Índice!F21=TRUE,'BBDD Equipos 60598'!G53:H64,"NO ENSAYADO")</f>
        <v>EQ-SAFE-213</v>
      </c>
      <c r="L18" t="str">
        <v>Dinamómetro</v>
      </c>
      <c r="W18" t="str">
        <v>EQ-SAFE-107
EQ-SAFE-112</v>
      </c>
      <c r="X18" t="str">
        <v>Varilla 50mm diámetro
Esfera 50mm diámetro</v>
      </c>
      <c r="AE18" t="str">
        <v>EQ-SAFE-311; EQ-SAFE-312; EQ-SAFE-313</v>
      </c>
      <c r="AF18" t="str">
        <v>Termohigrómetros</v>
      </c>
      <c r="AM18" t="str">
        <v>Otros:</v>
      </c>
      <c r="AN18">
        <v>0</v>
      </c>
      <c r="AQ18" t="str">
        <v>EQ-SAFE-011</v>
      </c>
      <c r="AR18" t="str">
        <v>Medidor de resistencias de bobinado</v>
      </c>
      <c r="AU18" t="str">
        <v>EQ-SAFE-311; EQ-SAFE-312; EQ-SAFE-313</v>
      </c>
      <c r="AV18" t="str">
        <v>Termohigrómetros</v>
      </c>
      <c r="AY18" t="str">
        <v>Otros:</v>
      </c>
      <c r="AZ18">
        <v>0</v>
      </c>
    </row>
    <row r="19" spans="2:52">
      <c r="B19" s="4"/>
      <c r="D19" s="5"/>
      <c r="G19" t="str" cm="1">
        <f t="array" ref="G19:H24">IF(Índice!F7=TRUE,'BBDD Equipos 60598'!G16:H21,"NO ENSAYADO")</f>
        <v>EQ-SAFE-206</v>
      </c>
      <c r="H19" t="str">
        <v>Pie de rey</v>
      </c>
      <c r="K19" t="str">
        <v>EQ-SAFE-216</v>
      </c>
      <c r="L19" t="str">
        <v>Llave dinamométrica</v>
      </c>
      <c r="O19" s="819" t="str">
        <f>Índice!D31</f>
        <v>4.24.2. Riesgo retiniano de luz azul</v>
      </c>
      <c r="P19" s="819"/>
      <c r="W19" t="str">
        <v>EQ-SAFE-108</v>
      </c>
      <c r="X19" t="str">
        <v>Varilla 2,5mm diámetro</v>
      </c>
      <c r="AE19" t="str">
        <v>Otros:</v>
      </c>
      <c r="AF19">
        <v>0</v>
      </c>
      <c r="AM19">
        <v>0</v>
      </c>
      <c r="AN19">
        <v>0</v>
      </c>
      <c r="AQ19" t="str">
        <v>Otros:</v>
      </c>
      <c r="AR19">
        <v>0</v>
      </c>
      <c r="AU19" t="str">
        <v>EQ-SAFE-407</v>
      </c>
      <c r="AV19" t="str">
        <v>Cronómetro</v>
      </c>
      <c r="AY19">
        <v>0</v>
      </c>
      <c r="AZ19">
        <v>0</v>
      </c>
    </row>
    <row r="20" spans="2:52">
      <c r="B20" s="4"/>
      <c r="D20" s="5"/>
      <c r="G20" t="str">
        <v>EQ-SAFE-207</v>
      </c>
      <c r="H20" t="str">
        <v>Micrómetro digital</v>
      </c>
      <c r="K20" t="str">
        <v>EQ-SAFE-206</v>
      </c>
      <c r="L20" t="str">
        <v>Pie de rey</v>
      </c>
      <c r="O20" t="str" cm="1">
        <f t="array" ref="O20:P24">IF(Índice!F31=TRUE,'BBDD Equipos 60598'!G90:H94,"NO ENSAYADO")</f>
        <v>EQ-SAFE-415</v>
      </c>
      <c r="P20" t="str">
        <v>Espectrofotómetro</v>
      </c>
      <c r="W20" t="str">
        <v>EQ-SAFE-110</v>
      </c>
      <c r="X20" t="str">
        <v>Esfera 12,5mm diámetro</v>
      </c>
      <c r="AE20">
        <v>0</v>
      </c>
      <c r="AF20">
        <v>0</v>
      </c>
      <c r="AI20" s="819" t="str">
        <f>Índice!D61</f>
        <v>10.2.2. Rigidez dieléctrica</v>
      </c>
      <c r="AJ20" s="819"/>
      <c r="AQ20">
        <v>0</v>
      </c>
      <c r="AR20">
        <v>0</v>
      </c>
      <c r="AU20" t="str">
        <v>Otros:</v>
      </c>
      <c r="AV20">
        <v>0</v>
      </c>
      <c r="AY20">
        <v>0</v>
      </c>
      <c r="AZ20">
        <v>0</v>
      </c>
    </row>
    <row r="21" spans="2:52">
      <c r="B21" s="4"/>
      <c r="D21" s="5"/>
      <c r="G21" t="str">
        <v>EQ-SAFE-311; EQ-SAFE-312; EQ-SAFE-313</v>
      </c>
      <c r="H21" t="str">
        <v>Termohigrómetros</v>
      </c>
      <c r="K21" t="str">
        <v>EQ-SAFE-207</v>
      </c>
      <c r="L21" t="str">
        <v>Micrómetro digital</v>
      </c>
      <c r="O21" t="str">
        <v>EQ-SAFE-212</v>
      </c>
      <c r="P21" t="str">
        <v>Flexómetro</v>
      </c>
      <c r="W21" t="str">
        <v>EQ-SAFE-109</v>
      </c>
      <c r="X21" t="str">
        <v>Varilla 1 mm diámetro</v>
      </c>
      <c r="AE21">
        <v>0</v>
      </c>
      <c r="AF21">
        <v>0</v>
      </c>
      <c r="AH21" s="13" t="str">
        <f>IF('Datos ensayos LUM.'!BF26=TRUE,"X","")</f>
        <v/>
      </c>
      <c r="AI21" t="str" cm="1">
        <f t="array" ref="AI21:AJ27">IF(Índice!F61=TRUE,'BBDD Equipos 60598'!AI13:AJ19,"NO ENSAYADO")</f>
        <v>EQ-SAFE-402</v>
      </c>
      <c r="AJ21" t="str">
        <v>Rigidez dieléctrica (GW INSTEK GPT 15002)</v>
      </c>
      <c r="AQ21">
        <v>0</v>
      </c>
      <c r="AR21">
        <v>0</v>
      </c>
      <c r="AU21">
        <v>0</v>
      </c>
      <c r="AV21">
        <v>0</v>
      </c>
    </row>
    <row r="22" spans="2:52">
      <c r="B22" s="4"/>
      <c r="D22" s="5"/>
      <c r="G22" t="str">
        <v>Otros:</v>
      </c>
      <c r="H22">
        <v>0</v>
      </c>
      <c r="K22" t="str">
        <v>EQ-SAFE-311; EQ-SAFE-312; EQ-SAFE-313</v>
      </c>
      <c r="L22" t="str">
        <v>Termohigrómetros</v>
      </c>
      <c r="O22" t="str">
        <v>Otros:</v>
      </c>
      <c r="P22">
        <v>0</v>
      </c>
      <c r="W22" t="str">
        <v>EQ-SAFE-309; EQ-SAFE-310</v>
      </c>
      <c r="X22" t="str">
        <v>Termohigrómetros</v>
      </c>
      <c r="AH22" s="13" t="str">
        <f>IF('Datos ensayos LUM.'!BF27=TRUE,"X","")</f>
        <v/>
      </c>
      <c r="AI22" t="str">
        <v>EQ-SAFE-403</v>
      </c>
      <c r="AJ22" t="str">
        <v>Rigidez dieléctrica (GW INSTEK GPT 15004)</v>
      </c>
      <c r="AU22">
        <v>0</v>
      </c>
      <c r="AV22">
        <v>0</v>
      </c>
    </row>
    <row r="23" spans="2:52">
      <c r="B23" s="4"/>
      <c r="D23" s="5"/>
      <c r="G23">
        <v>0</v>
      </c>
      <c r="H23">
        <v>0</v>
      </c>
      <c r="K23" t="str">
        <v>EQ-SAFE-214</v>
      </c>
      <c r="L23" t="str">
        <v>Atornillador dinamométrico 60cNm</v>
      </c>
      <c r="O23">
        <v>0</v>
      </c>
      <c r="P23">
        <v>0</v>
      </c>
      <c r="W23" t="str">
        <v>EQ-SAFE-212</v>
      </c>
      <c r="X23" t="str">
        <v>Flexómetro</v>
      </c>
      <c r="AH23" s="13" t="str">
        <f>IF('Datos ensayos LUM.'!BF28=TRUE,"X","")</f>
        <v/>
      </c>
      <c r="AI23" t="str">
        <v>EQ-SAFE-403</v>
      </c>
      <c r="AJ23" t="str">
        <v>Rigidez dieléctrica (GW INSTEK)</v>
      </c>
    </row>
    <row r="24" spans="2:52">
      <c r="B24" s="4"/>
      <c r="D24" s="5"/>
      <c r="G24">
        <v>0</v>
      </c>
      <c r="H24">
        <v>0</v>
      </c>
      <c r="K24" t="str">
        <v>EQ-SAFE-215</v>
      </c>
      <c r="L24" t="str">
        <v>Atornillador dinamométrico 260cNm</v>
      </c>
      <c r="O24">
        <v>0</v>
      </c>
      <c r="P24">
        <v>0</v>
      </c>
      <c r="W24" t="str">
        <v>EQ-SAFE-330</v>
      </c>
      <c r="X24" t="str">
        <v>Cámara climática</v>
      </c>
      <c r="AI24" t="str">
        <v>EQ-SAFE-311; 
EQ-SAFE-312; 
EQ-SAFE-313</v>
      </c>
      <c r="AJ24" t="str">
        <v>Termohigrómetros</v>
      </c>
      <c r="AU24" s="2" t="str">
        <f>Índice!D95</f>
        <v>13.3. Resistencia a la llama y a la inflamación</v>
      </c>
    </row>
    <row r="25" spans="2:52" ht="15" thickBot="1">
      <c r="B25" s="6"/>
      <c r="C25" s="7"/>
      <c r="D25" s="1"/>
      <c r="K25" t="str">
        <v>EQ-SAFE-407</v>
      </c>
      <c r="L25" t="str">
        <v>Cronómetro digital</v>
      </c>
      <c r="V25" s="14" t="str">
        <f>IF('Datos ensayos LUM.'!BF26=TRUE,"X","")</f>
        <v/>
      </c>
      <c r="W25" t="str">
        <v>EQ-SAFE-403</v>
      </c>
      <c r="X25" t="str">
        <v>Rigidez dieléctrica</v>
      </c>
      <c r="AI25" t="str">
        <v>Otros:</v>
      </c>
      <c r="AJ25">
        <v>0</v>
      </c>
      <c r="AU25" t="str" cm="1">
        <f t="array" ref="AU25:AV40">IF(Índice!F95=TRUE,'BBDD Equipos 60598'!AM20:AN35,"NO ENSAYADO")</f>
        <v>EQ-SAFE-307</v>
      </c>
      <c r="AV25" t="str">
        <v>Llama de aguja</v>
      </c>
    </row>
    <row r="26" spans="2:52">
      <c r="G26" s="2" t="str">
        <f>Índice!D8</f>
        <v>4.7.2. Bornes y conexiones a la red de alimentación</v>
      </c>
      <c r="K26" t="str">
        <v>EQ-SAFE-212</v>
      </c>
      <c r="L26" t="str">
        <v>Flexómetro</v>
      </c>
      <c r="V26" s="14" t="str">
        <f>IF('Datos ensayos LUM.'!BF27=TRUE,"X","")</f>
        <v/>
      </c>
      <c r="W26" t="str">
        <v>EQ-SAFE-402</v>
      </c>
      <c r="X26" t="str">
        <v>Rigidez dieléctrica</v>
      </c>
      <c r="AI26">
        <v>0</v>
      </c>
      <c r="AJ26">
        <v>0</v>
      </c>
      <c r="AU26" t="str">
        <v>EQ-SAFE-308</v>
      </c>
      <c r="AV26" t="str">
        <v>Mechero Bunsen</v>
      </c>
    </row>
    <row r="27" spans="2:52">
      <c r="G27" t="str" cm="1">
        <f t="array" ref="G27:H32">IF(Índice!F8=TRUE,'BBDD Equipos 60598'!G23:H28,"NO ENSAYADO")</f>
        <v>EQ-SAFE-206</v>
      </c>
      <c r="H27" t="str">
        <v>Pie de rey</v>
      </c>
      <c r="K27" t="str">
        <v>Otros:</v>
      </c>
      <c r="L27">
        <v>0</v>
      </c>
      <c r="O27" s="819" t="str">
        <f>Índice!D32</f>
        <v>4.28. Fijación de los dispositivos de control sensibles a la temperatura</v>
      </c>
      <c r="P27" s="819"/>
      <c r="V27" s="14" t="str">
        <f>IF('Datos ensayos LUM.'!BF28=TRUE,"X","")</f>
        <v/>
      </c>
      <c r="W27" t="str">
        <v>EQ-SAFE-403</v>
      </c>
      <c r="X27" t="str">
        <v>Rigidez dieléctrica (GW INSTEK)</v>
      </c>
      <c r="AI27">
        <v>0</v>
      </c>
      <c r="AJ27">
        <v>0</v>
      </c>
      <c r="AU27" t="str">
        <v>EQ-SAFE-407</v>
      </c>
      <c r="AV27" t="str">
        <v>Cronómetro</v>
      </c>
    </row>
    <row r="28" spans="2:52">
      <c r="G28" t="str">
        <v>EQ-SAFE-207</v>
      </c>
      <c r="H28" t="str">
        <v>Micrómetro digital</v>
      </c>
      <c r="K28">
        <v>0</v>
      </c>
      <c r="L28">
        <v>0</v>
      </c>
      <c r="O28" t="str" cm="1">
        <f t="array" ref="O28:P32">IF(Índice!F31=TRUE,'BBDD Equipos 60598'!G96:H100,"NO ENSAYADO")</f>
        <v>EQ-SAFE-330</v>
      </c>
      <c r="P28" t="str">
        <v>Cámara climática</v>
      </c>
      <c r="V28" s="15" t="str">
        <f>IF('Datos ensayos LUM.'!BE26=TRUE,"X","")</f>
        <v/>
      </c>
      <c r="W28" t="str">
        <v>EQ-SAFE-403</v>
      </c>
      <c r="X28" t="str">
        <v>Medidor resistencia de aislamiento</v>
      </c>
      <c r="AU28" t="str">
        <v>EQ-SAFE-311; EQ-SAFE-312; EQ-SAFE-313</v>
      </c>
      <c r="AV28" t="str">
        <v>Termohigrómetros</v>
      </c>
    </row>
    <row r="29" spans="2:52">
      <c r="G29" t="str">
        <v>EQ-SAFE-311; EQ-SAFE-312; EQ-SAFE-313</v>
      </c>
      <c r="H29" t="str">
        <v>Termohigrómetros</v>
      </c>
      <c r="K29">
        <v>0</v>
      </c>
      <c r="L29">
        <v>0</v>
      </c>
      <c r="O29" t="str">
        <v>EQ-SAFE-212</v>
      </c>
      <c r="P29" t="str">
        <v>Flexómetro</v>
      </c>
      <c r="V29" s="15" t="str">
        <f>IF('Datos ensayos LUM.'!BE28=TRUE,"X","")</f>
        <v/>
      </c>
      <c r="W29" t="str">
        <v>EQ-SAFE-403</v>
      </c>
      <c r="X29" t="str">
        <v>Medidor resistencia de aislamiento</v>
      </c>
      <c r="AU29" t="str">
        <v>RC-SAFE-013</v>
      </c>
      <c r="AV29" t="str">
        <v>Gas propano</v>
      </c>
    </row>
    <row r="30" spans="2:52">
      <c r="G30" t="str">
        <v>Otros:</v>
      </c>
      <c r="H30">
        <v>0</v>
      </c>
      <c r="O30" t="str">
        <v>Otros:</v>
      </c>
      <c r="P30">
        <v>0</v>
      </c>
      <c r="W30" t="str">
        <v>EQ-SAFE-407</v>
      </c>
      <c r="X30" t="str">
        <v>Cronómetro digital</v>
      </c>
      <c r="AU30" t="str">
        <v>Otros:</v>
      </c>
      <c r="AV30">
        <v>0</v>
      </c>
    </row>
    <row r="31" spans="2:52">
      <c r="G31">
        <v>0</v>
      </c>
      <c r="H31">
        <v>0</v>
      </c>
      <c r="O31">
        <v>0</v>
      </c>
      <c r="P31">
        <v>0</v>
      </c>
      <c r="V31" s="35" t="str">
        <f>IF('Datos ensayos LUM.'!AV70=TRUE,"X","")</f>
        <v/>
      </c>
      <c r="W31" t="str">
        <v>EQ-SAFE-326</v>
      </c>
      <c r="X31" t="str">
        <v>Cámara de polvo</v>
      </c>
      <c r="AI31" s="819" t="str">
        <f>Índice!D66</f>
        <v>10.3. Corrientes de fuga</v>
      </c>
      <c r="AJ31" s="819"/>
      <c r="AU31">
        <v>0</v>
      </c>
      <c r="AV31">
        <v>0</v>
      </c>
    </row>
    <row r="32" spans="2:52">
      <c r="G32">
        <v>0</v>
      </c>
      <c r="H32">
        <v>0</v>
      </c>
      <c r="O32">
        <v>0</v>
      </c>
      <c r="P32">
        <v>0</v>
      </c>
      <c r="W32" t="str">
        <v>Otros:</v>
      </c>
      <c r="X32">
        <v>0</v>
      </c>
      <c r="AH32" s="14" t="str">
        <f>IF('Datos ensayos LUM.'!BG24=TRUE,"X","")</f>
        <v/>
      </c>
      <c r="AI32" t="str" cm="1">
        <f t="array" ref="AI32:AJ37">IF(Índice!F66=TRUE,'BBDD Equipos 60598'!AI21:AJ26,"NO ENSAYADO")</f>
        <v>EQ-SAFE-441</v>
      </c>
      <c r="AJ32" t="str">
        <v>Corrientes de fuga AINUO</v>
      </c>
      <c r="AU32">
        <v>0</v>
      </c>
      <c r="AV32">
        <v>0</v>
      </c>
    </row>
    <row r="33" spans="6:48">
      <c r="K33" s="819" t="str">
        <f>Índice!D22</f>
        <v>4.13. Ensayo de golpe martillo impacto</v>
      </c>
      <c r="L33" s="819"/>
      <c r="W33">
        <v>0</v>
      </c>
      <c r="X33">
        <v>0</v>
      </c>
      <c r="AH33" s="14" t="str">
        <f>IF('Datos ensayos LUM.'!BG25=TRUE,"X","")</f>
        <v/>
      </c>
      <c r="AI33" t="str">
        <v>EQ-SAFE-404</v>
      </c>
      <c r="AJ33" t="str">
        <v>Corrientes de fuga GW INSTEK - GLC-1000</v>
      </c>
      <c r="AU33" t="str">
        <v>15.3.2 Hilo inandescente</v>
      </c>
      <c r="AV33">
        <v>0</v>
      </c>
    </row>
    <row r="34" spans="6:48">
      <c r="G34" s="2" t="str">
        <f>Índice!D9</f>
        <v>4.9. Revestimientos y manguitos aislantes</v>
      </c>
      <c r="K34" t="str" cm="1">
        <f t="array" ref="K34:L39">IF(Índice!F22=TRUE,'BBDD Equipos 60598'!G66:H71,"NO ENSAYADO")</f>
        <v>EQ-SAFE-122</v>
      </c>
      <c r="L34" t="str">
        <v>Dedo rígido de prueba rígido</v>
      </c>
      <c r="W34">
        <v>0</v>
      </c>
      <c r="X34">
        <v>0</v>
      </c>
      <c r="AI34" t="str">
        <v>EQ-SAFE-311; 
EQ-SAFE-312; 
EQ-SAFE-313</v>
      </c>
      <c r="AJ34" t="str">
        <v>Termohigrómetros</v>
      </c>
      <c r="AU34" t="str">
        <v>EQ-SAFE-306</v>
      </c>
      <c r="AV34" t="str">
        <v>Equipo de hilo incandescente</v>
      </c>
    </row>
    <row r="35" spans="6:48">
      <c r="F35" s="19" t="str">
        <f>IF('Datos ensayos LUM.'!D108=TRUE,"X","")</f>
        <v>X</v>
      </c>
      <c r="G35" t="str" cm="1">
        <f t="array" ref="G35:H48">IF(Índice!F9=TRUE,'BBDD Equipos 60598'!G30:H43,"NO ENSAYADO")</f>
        <v>EQ-SAFE-305</v>
      </c>
      <c r="H35" t="str">
        <v>Estufa / horno</v>
      </c>
      <c r="K35" t="str">
        <v>EQ-SAFE-101</v>
      </c>
      <c r="L35" t="str">
        <v>Martillo resorte</v>
      </c>
      <c r="W35">
        <v>0</v>
      </c>
      <c r="X35">
        <v>0</v>
      </c>
      <c r="AI35" t="str">
        <v>Otros:</v>
      </c>
      <c r="AJ35">
        <v>0</v>
      </c>
      <c r="AU35" t="str">
        <v>EQ-SAFE-407</v>
      </c>
      <c r="AV35" t="str">
        <v>Cronómetro</v>
      </c>
    </row>
    <row r="36" spans="6:48">
      <c r="F36" s="19" t="str">
        <f>IF('Datos ensayos LUM.'!D109=TRUE,"X","")</f>
        <v/>
      </c>
      <c r="G36" t="str">
        <v>EQ-SAFE-304</v>
      </c>
      <c r="H36" t="str">
        <v>Estufa / Horno AUTOSTRONG</v>
      </c>
      <c r="K36" t="str">
        <v>EQ-SAFE-601</v>
      </c>
      <c r="L36" t="str">
        <v>Indicador de contacto eléctrico</v>
      </c>
      <c r="W36">
        <v>0</v>
      </c>
      <c r="X36">
        <v>0</v>
      </c>
      <c r="AI36">
        <v>0</v>
      </c>
      <c r="AJ36">
        <v>0</v>
      </c>
      <c r="AU36" t="str">
        <v>EQ-SAFE-311; EQ-SAFE-312; EQ-SAFE-313</v>
      </c>
      <c r="AV36" t="str">
        <v>Termohigrómetros</v>
      </c>
    </row>
    <row r="37" spans="6:48">
      <c r="F37" s="19"/>
      <c r="G37" t="str">
        <v>EQ-SAFE-301</v>
      </c>
      <c r="H37" t="str">
        <v>Recinto de temperaturas</v>
      </c>
      <c r="K37" t="str">
        <v>EQ-SAFE-311; EQ-SAFE-312; EQ-SAFE-313</v>
      </c>
      <c r="L37" t="str">
        <v>Termohigrómetros</v>
      </c>
      <c r="W37">
        <v>0</v>
      </c>
      <c r="X37">
        <v>0</v>
      </c>
      <c r="AI37">
        <v>0</v>
      </c>
      <c r="AJ37">
        <v>0</v>
      </c>
      <c r="AU37" t="str">
        <v>Otros:</v>
      </c>
      <c r="AV37">
        <v>0</v>
      </c>
    </row>
    <row r="38" spans="6:48">
      <c r="F38" s="19"/>
      <c r="G38" t="str">
        <v>EQ-SAFE-330</v>
      </c>
      <c r="H38" t="str">
        <v>Cámara climática</v>
      </c>
      <c r="K38" t="str">
        <v>Otros:</v>
      </c>
      <c r="L38">
        <v>0</v>
      </c>
      <c r="W38">
        <v>0</v>
      </c>
      <c r="X38">
        <v>0</v>
      </c>
      <c r="AU38">
        <v>0</v>
      </c>
      <c r="AV38">
        <v>0</v>
      </c>
    </row>
    <row r="39" spans="6:48">
      <c r="G39" t="str">
        <v>EQ-SAFE-206</v>
      </c>
      <c r="H39" t="str">
        <v>Pie de rey</v>
      </c>
      <c r="K39">
        <v>0</v>
      </c>
      <c r="L39">
        <v>0</v>
      </c>
      <c r="W39">
        <v>0</v>
      </c>
      <c r="X39">
        <v>0</v>
      </c>
      <c r="AU39">
        <v>0</v>
      </c>
      <c r="AV39">
        <v>0</v>
      </c>
    </row>
    <row r="40" spans="6:48">
      <c r="F40" s="14" t="str">
        <f>IF('Datos ensayos LUM.'!BF26=TRUE,"X","")</f>
        <v/>
      </c>
      <c r="G40" t="str">
        <v>EQ-SAFE-403</v>
      </c>
      <c r="H40" t="str">
        <v>Rigidez dieléctrica</v>
      </c>
      <c r="W40">
        <v>0</v>
      </c>
      <c r="X40">
        <v>0</v>
      </c>
      <c r="AU40">
        <v>0</v>
      </c>
      <c r="AV40">
        <v>0</v>
      </c>
    </row>
    <row r="41" spans="6:48">
      <c r="F41" s="14" t="str">
        <f>IF('Datos ensayos LUM.'!BF27=TRUE,"X","")</f>
        <v/>
      </c>
      <c r="G41" t="str">
        <v>EQ-SAFE-402</v>
      </c>
      <c r="H41" t="str">
        <v>Rigidez dieléctrica + Resist aisl + Tierra</v>
      </c>
      <c r="AU41" t="str" cm="1">
        <f t="array" ref="AU41:AV52">'BBDD Equipos 60598'!AM36:AN47</f>
        <v>15.4 Frormación de caminos conductores</v>
      </c>
      <c r="AV41">
        <v>0</v>
      </c>
    </row>
    <row r="42" spans="6:48">
      <c r="F42" s="14" t="str">
        <f>IF('Datos ensayos LUM.'!BF28=TRUE,"X","")</f>
        <v/>
      </c>
      <c r="G42" t="str">
        <v>EQ-SAFE-402</v>
      </c>
      <c r="H42" t="str">
        <v>Rigidez dieléctrica + Resist aisl + Tierra</v>
      </c>
      <c r="K42" s="819" t="str">
        <f>Índice!D23</f>
        <v>4.14. Suspensiones, fiaciones y dispositivos de regulación</v>
      </c>
      <c r="L42" s="819"/>
      <c r="AU42" t="str">
        <v>EQ-SAFE-444</v>
      </c>
      <c r="AV42" t="str">
        <v>Banco de pruebas eléctricas</v>
      </c>
    </row>
    <row r="43" spans="6:48">
      <c r="F43" s="15" t="str">
        <f>IF('Datos ensayos LUM.'!BE26=TRUE,"X","")</f>
        <v/>
      </c>
      <c r="G43" t="str">
        <v>EQ-SAFE-402</v>
      </c>
      <c r="H43" t="str">
        <v>Rigidez dieléctrica + Resist aisl + Tierra</v>
      </c>
      <c r="K43" t="str" cm="1">
        <f t="array" ref="K43:L48">IF(Índice!F23=TRUE,'BBDD Equipos 60598'!G66:H71,"NO ENSAYADO")</f>
        <v>EQ-SAFE-122</v>
      </c>
      <c r="L43" t="str">
        <v>Dedo rígido de prueba rígido</v>
      </c>
      <c r="AU43" t="str">
        <v>EQ-SAFE-407</v>
      </c>
      <c r="AV43" t="str">
        <v>Cronómetro</v>
      </c>
    </row>
    <row r="44" spans="6:48">
      <c r="F44" s="15" t="str">
        <f>IF('Datos ensayos LUM.'!BE28=TRUE,"X","")</f>
        <v/>
      </c>
      <c r="G44" t="str">
        <v>EQ-SAFE-402</v>
      </c>
      <c r="H44" t="str">
        <v>Rigidez dieléctrica + Resist aisl + Tierra</v>
      </c>
      <c r="K44" t="str">
        <v>EQ-SAFE-101</v>
      </c>
      <c r="L44" t="str">
        <v>Martillo resorte</v>
      </c>
      <c r="AU44" t="str">
        <v>EQ-SAFE-167</v>
      </c>
      <c r="AV44" t="str">
        <v>Juego de Galgas</v>
      </c>
    </row>
    <row r="45" spans="6:48">
      <c r="G45" t="str">
        <v>EQ-SAFE-311; EQ-SAFE-312; EQ-SAFE-313</v>
      </c>
      <c r="H45" t="str">
        <v>Termohigrómetros</v>
      </c>
      <c r="K45" t="str">
        <v>EQ-SAFE-601</v>
      </c>
      <c r="L45" t="str">
        <v>Indicador de contacto eléctrico</v>
      </c>
      <c r="AU45" t="str">
        <v>EQ-SAFE-206</v>
      </c>
      <c r="AV45" t="str">
        <v>Pie de rey</v>
      </c>
    </row>
    <row r="46" spans="6:48">
      <c r="G46" t="str">
        <v>EQ-SAFE-407</v>
      </c>
      <c r="H46" t="str">
        <v>Cronómetro digital</v>
      </c>
      <c r="K46" t="str">
        <v>EQ-SAFE-311; EQ-SAFE-312; EQ-SAFE-313</v>
      </c>
      <c r="L46" t="str">
        <v>Termohigrómetros</v>
      </c>
      <c r="AU46" t="str">
        <v>EQ-SAFE-405</v>
      </c>
      <c r="AV46" t="str">
        <v>Conductímetro</v>
      </c>
    </row>
    <row r="47" spans="6:48">
      <c r="G47" t="str">
        <v>Otros:</v>
      </c>
      <c r="H47">
        <v>0</v>
      </c>
      <c r="K47" t="str">
        <v>Otros:</v>
      </c>
      <c r="L47">
        <v>0</v>
      </c>
      <c r="AU47" t="str">
        <v>RC-SAFE-07; RC-SAFE-09; RC-SAFE-10</v>
      </c>
      <c r="AV47" t="str">
        <v>Soluciones conductividad</v>
      </c>
    </row>
    <row r="48" spans="6:48">
      <c r="G48">
        <v>0</v>
      </c>
      <c r="H48">
        <v>0</v>
      </c>
      <c r="K48">
        <v>0</v>
      </c>
      <c r="L48">
        <v>0</v>
      </c>
      <c r="AU48" t="str">
        <v>EQ-SAFE-311; EQ-SAFE-312; EQ-SAFE-313</v>
      </c>
      <c r="AV48" t="str">
        <v>Termohigrómetros</v>
      </c>
    </row>
    <row r="49" spans="47:48">
      <c r="AU49" t="str">
        <v>Otros:</v>
      </c>
      <c r="AV49">
        <v>0</v>
      </c>
    </row>
    <row r="50" spans="47:48">
      <c r="AU50">
        <v>0</v>
      </c>
      <c r="AV50">
        <v>0</v>
      </c>
    </row>
    <row r="51" spans="47:48">
      <c r="AU51">
        <v>0</v>
      </c>
      <c r="AV51">
        <v>0</v>
      </c>
    </row>
    <row r="52" spans="47:48">
      <c r="AU52">
        <v>0</v>
      </c>
      <c r="AV52">
        <v>0</v>
      </c>
    </row>
  </sheetData>
  <customSheetViews>
    <customSheetView guid="{79F412AB-527B-4B09-A03C-7CEF74370DD0}" showPageBreaks="1" view="pageLayout">
      <selection activeCell="J22" sqref="J22"/>
      <pageMargins left="0.7" right="0.7" top="0.75" bottom="0.75" header="0.3" footer="0.3"/>
      <pageSetup paperSize="9" orientation="portrait" r:id="rId1"/>
    </customSheetView>
  </customSheetViews>
  <mergeCells count="18">
    <mergeCell ref="AT6:AV6"/>
    <mergeCell ref="AH6:AJ6"/>
    <mergeCell ref="B6:D6"/>
    <mergeCell ref="F6:H6"/>
    <mergeCell ref="O27:P27"/>
    <mergeCell ref="O19:P19"/>
    <mergeCell ref="O8:P8"/>
    <mergeCell ref="AI8:AJ8"/>
    <mergeCell ref="K33:L33"/>
    <mergeCell ref="K42:L42"/>
    <mergeCell ref="K17:L17"/>
    <mergeCell ref="K8:L8"/>
    <mergeCell ref="AI20:AJ20"/>
    <mergeCell ref="AI31:AJ31"/>
    <mergeCell ref="AE8:AF8"/>
    <mergeCell ref="AA8:AB8"/>
    <mergeCell ref="W8:X8"/>
    <mergeCell ref="S8:T8"/>
  </mergeCells>
  <phoneticPr fontId="2" type="noConversion"/>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3E617D1835A074AAC90B84C15591216" ma:contentTypeVersion="18" ma:contentTypeDescription="Crear nuevo documento." ma:contentTypeScope="" ma:versionID="7a67739d59cfca2fedf7882a17a71109">
  <xsd:schema xmlns:xsd="http://www.w3.org/2001/XMLSchema" xmlns:xs="http://www.w3.org/2001/XMLSchema" xmlns:p="http://schemas.microsoft.com/office/2006/metadata/properties" xmlns:ns2="2ea1a8ff-db68-4887-a9f2-65630d5208d4" xmlns:ns3="bee17985-e714-4af5-8617-feb8e9ed6335" targetNamespace="http://schemas.microsoft.com/office/2006/metadata/properties" ma:root="true" ma:fieldsID="b66a251febd66132f9e0ccee3f697a04" ns2:_="" ns3:_="">
    <xsd:import namespace="2ea1a8ff-db68-4887-a9f2-65630d5208d4"/>
    <xsd:import namespace="bee17985-e714-4af5-8617-feb8e9ed63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a1a8ff-db68-4887-a9f2-65630d5208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52b4609-d91e-41e1-9d27-4fca9050b08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ApprovalAssignedTo" ma:index="22" nillable="true" ma:displayName="Aprobadore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3" nillable="true" ma:displayName="Respuesta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4" nillable="true" ma:displayName="Aprobación del Cread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5" nillable="true" ma:displayName="Estado de aprobación"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e17985-e714-4af5-8617-feb8e9ed633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87745b-d32c-4028-8d05-3d57bb6de33a}" ma:internalName="TaxCatchAll" ma:showField="CatchAllData" ma:web="bee17985-e714-4af5-8617-feb8e9ed63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ee17985-e714-4af5-8617-feb8e9ed6335" xsi:nil="true"/>
    <lcf76f155ced4ddcb4097134ff3c332f xmlns="2ea1a8ff-db68-4887-a9f2-65630d5208d4">
      <Terms xmlns="http://schemas.microsoft.com/office/infopath/2007/PartnerControls"/>
    </lcf76f155ced4ddcb4097134ff3c332f>
    <_ApprovalAssignedTo xmlns="2ea1a8ff-db68-4887-a9f2-65630d5208d4">
      <UserInfo>
        <DisplayName/>
        <AccountId xsi:nil="true"/>
        <AccountType/>
      </UserInfo>
    </_ApprovalAssignedTo>
    <_ApprovalSentBy xmlns="2ea1a8ff-db68-4887-a9f2-65630d5208d4">
      <UserInfo>
        <DisplayName/>
        <AccountId xsi:nil="true"/>
        <AccountType/>
      </UserInfo>
    </_ApprovalSentBy>
    <_ApprovalStatus xmlns="2ea1a8ff-db68-4887-a9f2-65630d5208d4">0</_ApprovalStatus>
    <_ApprovalRespondedBy xmlns="2ea1a8ff-db68-4887-a9f2-65630d5208d4">
      <UserInfo>
        <DisplayName/>
        <AccountId xsi:nil="true"/>
        <AccountType/>
      </UserInfo>
    </_ApprovalRespondedBy>
  </documentManagement>
</p:properties>
</file>

<file path=customXml/itemProps1.xml><?xml version="1.0" encoding="utf-8"?>
<ds:datastoreItem xmlns:ds="http://schemas.openxmlformats.org/officeDocument/2006/customXml" ds:itemID="{AB5A79B4-BA44-4A0C-824E-737F4845DA7E}">
  <ds:schemaRefs>
    <ds:schemaRef ds:uri="http://schemas.microsoft.com/sharepoint/v3/contenttype/forms"/>
  </ds:schemaRefs>
</ds:datastoreItem>
</file>

<file path=customXml/itemProps2.xml><?xml version="1.0" encoding="utf-8"?>
<ds:datastoreItem xmlns:ds="http://schemas.openxmlformats.org/officeDocument/2006/customXml" ds:itemID="{3D5910DB-5530-4565-B356-60D8625625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a1a8ff-db68-4887-a9f2-65630d5208d4"/>
    <ds:schemaRef ds:uri="bee17985-e714-4af5-8617-feb8e9ed63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31C2EF-714F-42CA-8451-A4AD56669CE2}">
  <ds:schemaRefs>
    <ds:schemaRef ds:uri="http://schemas.microsoft.com/office/2006/metadata/properties"/>
    <ds:schemaRef ds:uri="http://schemas.microsoft.com/office/infopath/2007/PartnerControls"/>
    <ds:schemaRef ds:uri="bee17985-e714-4af5-8617-feb8e9ed6335"/>
    <ds:schemaRef ds:uri="2ea1a8ff-db68-4887-a9f2-65630d5208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RESUMEN PROYECTO LUM</vt:lpstr>
      <vt:lpstr>Toma de notas 60598</vt:lpstr>
      <vt:lpstr>BBDD Equipos 60598</vt:lpstr>
      <vt:lpstr>Datos ensayos LUM.</vt:lpstr>
      <vt:lpstr>Índice</vt:lpstr>
      <vt:lpstr>Equipos</vt:lpstr>
      <vt:lpstr>'BBDD Equipos 60598'!_Hlk10462746</vt:lpstr>
      <vt:lpstr>'BBDD Equipos 60598'!_Hlk99628035</vt:lpstr>
      <vt:lpstr>'BBDD Equipos 60598'!Print_Area</vt:lpstr>
      <vt:lpstr>Equipos!Print_Area</vt:lpstr>
      <vt:lpstr>'RESUMEN PROYECTO LUM'!Print_Area</vt:lpstr>
      <vt:lpstr>'Toma de notas 60598'!Print_Area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Latorre Diaz</dc:creator>
  <cp:lastModifiedBy>DAVID MARTINEZ PALOMARES</cp:lastModifiedBy>
  <cp:lastPrinted>2026-06-22T11:46:33Z</cp:lastPrinted>
  <dcterms:created xsi:type="dcterms:W3CDTF">2023-07-20T07:48:32Z</dcterms:created>
  <dcterms:modified xsi:type="dcterms:W3CDTF">2026-07-29T14:57:36Z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0x010100D3E617D1835A074AAC90B84C15591216</vt:lpwstr>
  </property>
  <property fmtid="{D5CDD505-2E9C-101B-9397-08002B2CF9AE}" pid="3" name="MediaServiceImageTags">
    <vt:lpwstr/>
  </property>
</Properties>
</file>